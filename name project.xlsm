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yan\Desktop\Projects\"/>
    </mc:Choice>
  </mc:AlternateContent>
  <xr:revisionPtr revIDLastSave="0" documentId="13_ncr:1_{16049C6E-AA4F-4F43-BB50-E59DE426DBCA}" xr6:coauthVersionLast="47" xr6:coauthVersionMax="47" xr10:uidLastSave="{00000000-0000-0000-0000-000000000000}"/>
  <bookViews>
    <workbookView xWindow="14550" yWindow="16080" windowWidth="29040" windowHeight="15720" activeTab="3" xr2:uid="{9E742173-3B52-4D77-A007-C68F8A42A3EA}"/>
  </bookViews>
  <sheets>
    <sheet name="Full DB" sheetId="1" r:id="rId1"/>
    <sheet name="Sheet1" sheetId="6" r:id="rId2"/>
    <sheet name="DEV" sheetId="2" r:id="rId3"/>
    <sheet name="1Example" sheetId="3" r:id="rId4"/>
    <sheet name="Month to Month" sheetId="5" r:id="rId5"/>
  </sheets>
  <functionGroups builtInGroupCount="19"/>
  <definedNames>
    <definedName name="_xlnm._FilterDatabase" localSheetId="0" hidden="1">'Full DB'!$A$6:$C$211</definedName>
    <definedName name="_xlnm._FilterDatabase" localSheetId="4" hidden="1">'Month to Month'!$A$6:$D$45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7" i="1"/>
  <c r="B30" i="5" a="1"/>
  <c r="B20" i="2" a="1"/>
  <c r="B40" i="5" a="1"/>
  <c r="B22" i="2" a="1"/>
  <c r="B16" i="2" a="1"/>
  <c r="B26" i="2" a="1"/>
  <c r="B13" i="5" a="1"/>
  <c r="B38" i="5" a="1"/>
  <c r="B23" i="2" a="1"/>
  <c r="B24" i="5" a="1"/>
  <c r="B36" i="5" a="1"/>
  <c r="B13" i="2" a="1"/>
  <c r="B29" i="5" a="1"/>
  <c r="B24" i="2" a="1"/>
  <c r="B17" i="2" a="1"/>
  <c r="B41" i="5" a="1"/>
  <c r="B11" i="5" a="1"/>
  <c r="B14" i="2" a="1"/>
  <c r="B12" i="2" a="1"/>
  <c r="B44" i="5" a="1"/>
  <c r="B8" i="2" a="1"/>
  <c r="B14" i="5" a="1"/>
  <c r="B21" i="5" a="1"/>
  <c r="B34" i="5" a="1"/>
  <c r="B18" i="2" a="1"/>
  <c r="B23" i="5" a="1"/>
  <c r="B19" i="5" a="1"/>
  <c r="B27" i="2" a="1"/>
  <c r="B9" i="5" a="1"/>
  <c r="B31" i="5" a="1"/>
  <c r="B8" i="5" a="1"/>
  <c r="B18" i="5" a="1"/>
  <c r="B7" i="5" a="1"/>
  <c r="B12" i="5" a="1"/>
  <c r="B10" i="5" a="1"/>
  <c r="B45" i="5" a="1"/>
  <c r="B26" i="5" a="1"/>
  <c r="B42" i="5" a="1"/>
  <c r="B28" i="5" a="1"/>
  <c r="B27" i="5" a="1"/>
  <c r="B20" i="5" a="1"/>
  <c r="B25" i="2" a="1"/>
  <c r="B16" i="5" a="1"/>
  <c r="B21" i="2" a="1"/>
  <c r="B35" i="5" a="1"/>
  <c r="B32" i="5" a="1"/>
  <c r="B15" i="5" a="1"/>
  <c r="B17" i="5" a="1"/>
  <c r="B39" i="5" a="1"/>
  <c r="B15" i="2" a="1"/>
  <c r="B37" i="5" a="1"/>
  <c r="B10" i="2" a="1"/>
  <c r="B43" i="5" a="1"/>
  <c r="B11" i="2" a="1"/>
  <c r="B19" i="2" a="1"/>
  <c r="B25" i="5" a="1"/>
  <c r="B33" i="5" a="1"/>
  <c r="B22" i="5" a="1"/>
  <c r="B8" i="3" a="1"/>
  <c r="B16" i="3" a="1"/>
  <c r="B24" i="3" a="1"/>
  <c r="B32" i="3" a="1"/>
  <c r="B40" i="3" a="1"/>
  <c r="B28" i="3" a="1"/>
  <c r="B29" i="3" a="1"/>
  <c r="B30" i="3" a="1"/>
  <c r="B39" i="3" a="1"/>
  <c r="B44" i="3" a="1"/>
  <c r="B31" i="3" a="1"/>
  <c r="B9" i="3" a="1"/>
  <c r="B17" i="3" a="1"/>
  <c r="B25" i="3" a="1"/>
  <c r="B33" i="3" a="1"/>
  <c r="B41" i="3" a="1"/>
  <c r="B20" i="3" a="1"/>
  <c r="B21" i="3" a="1"/>
  <c r="B38" i="3" a="1"/>
  <c r="B15" i="3" a="1"/>
  <c r="B13" i="3" a="1"/>
  <c r="B10" i="3" a="1"/>
  <c r="B18" i="3" a="1"/>
  <c r="B26" i="3" a="1"/>
  <c r="B34" i="3" a="1"/>
  <c r="B42" i="3" a="1"/>
  <c r="B36" i="3" a="1"/>
  <c r="B37" i="3" a="1"/>
  <c r="B11" i="3" a="1"/>
  <c r="B19" i="3" a="1"/>
  <c r="B27" i="3" a="1"/>
  <c r="B35" i="3" a="1"/>
  <c r="B43" i="3" a="1"/>
  <c r="B12" i="3" a="1"/>
  <c r="B45" i="3" a="1"/>
  <c r="B22" i="3" a="1"/>
  <c r="B23" i="3" a="1"/>
  <c r="B14" i="3" a="1"/>
  <c r="B7" i="3" a="1"/>
  <c r="B14" i="3" l="1"/>
  <c r="G14" i="3" s="1"/>
  <c r="B23" i="3"/>
  <c r="G23" i="3" s="1"/>
  <c r="B22" i="3"/>
  <c r="G22" i="3" s="1"/>
  <c r="B45" i="3"/>
  <c r="G45" i="3" s="1"/>
  <c r="B12" i="3"/>
  <c r="G12" i="3" s="1"/>
  <c r="B43" i="3"/>
  <c r="G43" i="3" s="1"/>
  <c r="B35" i="3"/>
  <c r="G35" i="3" s="1"/>
  <c r="B27" i="3"/>
  <c r="G27" i="3" s="1"/>
  <c r="B19" i="3"/>
  <c r="G19" i="3" s="1"/>
  <c r="B11" i="3"/>
  <c r="G11" i="3" s="1"/>
  <c r="B37" i="3"/>
  <c r="G37" i="3" s="1"/>
  <c r="B36" i="3"/>
  <c r="G36" i="3" s="1"/>
  <c r="B42" i="3"/>
  <c r="G42" i="3" s="1"/>
  <c r="B34" i="3"/>
  <c r="G34" i="3" s="1"/>
  <c r="B26" i="3"/>
  <c r="G26" i="3" s="1"/>
  <c r="B18" i="3"/>
  <c r="G18" i="3" s="1"/>
  <c r="B10" i="3"/>
  <c r="G10" i="3" s="1"/>
  <c r="B13" i="3"/>
  <c r="G13" i="3" s="1"/>
  <c r="B15" i="3"/>
  <c r="G15" i="3" s="1"/>
  <c r="B38" i="3"/>
  <c r="G38" i="3" s="1"/>
  <c r="B21" i="3"/>
  <c r="G21" i="3" s="1"/>
  <c r="B20" i="3"/>
  <c r="G20" i="3" s="1"/>
  <c r="B41" i="3"/>
  <c r="G41" i="3" s="1"/>
  <c r="B33" i="3"/>
  <c r="G33" i="3" s="1"/>
  <c r="B25" i="3"/>
  <c r="G25" i="3" s="1"/>
  <c r="B17" i="3"/>
  <c r="G17" i="3" s="1"/>
  <c r="B9" i="3"/>
  <c r="G9" i="3" s="1"/>
  <c r="B31" i="3"/>
  <c r="G31" i="3" s="1"/>
  <c r="B44" i="3"/>
  <c r="G44" i="3" s="1"/>
  <c r="B39" i="3"/>
  <c r="G39" i="3" s="1"/>
  <c r="B30" i="3"/>
  <c r="G30" i="3" s="1"/>
  <c r="B29" i="3"/>
  <c r="G29" i="3" s="1"/>
  <c r="B28" i="3"/>
  <c r="G28" i="3" s="1"/>
  <c r="B40" i="3"/>
  <c r="G40" i="3" s="1"/>
  <c r="B32" i="3"/>
  <c r="G32" i="3" s="1"/>
  <c r="B24" i="3"/>
  <c r="G24" i="3" s="1"/>
  <c r="B16" i="3"/>
  <c r="G16" i="3" s="1"/>
  <c r="B8" i="3"/>
  <c r="G8" i="3" s="1"/>
  <c r="B7" i="3"/>
  <c r="G7" i="3" s="1"/>
  <c r="B42" i="5"/>
  <c r="B26" i="5"/>
  <c r="B22" i="5"/>
  <c r="B37" i="5"/>
  <c r="B21" i="5"/>
  <c r="B44" i="5"/>
  <c r="B36" i="5"/>
  <c r="B32" i="5"/>
  <c r="B24" i="5"/>
  <c r="B20" i="5"/>
  <c r="B19" i="5"/>
  <c r="B38" i="5"/>
  <c r="B41" i="5"/>
  <c r="B29" i="5"/>
  <c r="B40" i="5"/>
  <c r="B28" i="5"/>
  <c r="B30" i="5"/>
  <c r="B34" i="5"/>
  <c r="B45" i="5"/>
  <c r="B33" i="5"/>
  <c r="B25" i="5"/>
  <c r="B43" i="5"/>
  <c r="B39" i="5"/>
  <c r="B35" i="5"/>
  <c r="B31" i="5"/>
  <c r="B27" i="5"/>
  <c r="B23" i="5"/>
  <c r="B21" i="2"/>
  <c r="B25" i="2"/>
  <c r="B27" i="2"/>
  <c r="B23" i="2"/>
  <c r="B26" i="2"/>
  <c r="B24" i="2"/>
  <c r="B22" i="2"/>
  <c r="B20" i="2"/>
  <c r="B17" i="5"/>
  <c r="B14" i="5"/>
  <c r="B10" i="5"/>
  <c r="B12" i="5"/>
  <c r="B7" i="5"/>
  <c r="B15" i="5"/>
  <c r="B18" i="5"/>
  <c r="B8" i="5"/>
  <c r="B16" i="5"/>
  <c r="B9" i="5"/>
  <c r="B11" i="5"/>
  <c r="B13" i="5"/>
  <c r="B19" i="2"/>
  <c r="B18" i="2"/>
  <c r="B17" i="2"/>
  <c r="B11" i="2"/>
  <c r="B15" i="2"/>
  <c r="B13" i="2"/>
  <c r="B12" i="2"/>
  <c r="B16" i="2"/>
  <c r="B14" i="2"/>
  <c r="B10" i="2"/>
  <c r="B8" i="2"/>
  <c r="A14" i="3" a="1"/>
  <c r="A10" i="3" a="1"/>
  <c r="A28" i="3" a="1"/>
  <c r="A23" i="3" a="1"/>
  <c r="A22" i="3" a="1"/>
  <c r="A15" i="3" a="1"/>
  <c r="A32" i="3" a="1"/>
  <c r="A45" i="3" a="1"/>
  <c r="A38" i="3" a="1"/>
  <c r="A24" i="3" a="1"/>
  <c r="A12" i="3" a="1"/>
  <c r="A21" i="3" a="1"/>
  <c r="A16" i="3" a="1"/>
  <c r="A20" i="3" a="1"/>
  <c r="A8" i="3" a="1"/>
  <c r="A17" i="3" a="1"/>
  <c r="A37" i="3" a="1"/>
  <c r="A9" i="3" a="1"/>
  <c r="A31" i="3" a="1"/>
  <c r="A42" i="3" a="1"/>
  <c r="A34" i="3" a="1"/>
  <c r="A18" i="3" a="1"/>
  <c r="A30" i="3" a="1"/>
  <c r="A43" i="3" a="1"/>
  <c r="A26" i="3" a="1"/>
  <c r="A13" i="3" a="1"/>
  <c r="A35" i="3" a="1"/>
  <c r="A41" i="3" a="1"/>
  <c r="A7" i="3" a="1"/>
  <c r="A27" i="3" a="1"/>
  <c r="A33" i="3" a="1"/>
  <c r="A19" i="3" a="1"/>
  <c r="A25" i="3" a="1"/>
  <c r="A11" i="3" a="1"/>
  <c r="A36" i="3" a="1"/>
  <c r="A44" i="3" a="1"/>
  <c r="A39" i="3" a="1"/>
  <c r="A29" i="3" a="1"/>
  <c r="A40" i="3" a="1"/>
  <c r="C32" i="5" a="1"/>
  <c r="C36" i="5" a="1"/>
  <c r="C22" i="5" a="1"/>
  <c r="C45" i="5" a="1"/>
  <c r="C20" i="5" a="1"/>
  <c r="C27" i="5" a="1"/>
  <c r="C29" i="5" a="1"/>
  <c r="C12" i="2" a="1"/>
  <c r="C33" i="5" a="1"/>
  <c r="C13" i="2" a="1"/>
  <c r="C24" i="5" a="1"/>
  <c r="C44" i="5" a="1"/>
  <c r="C35" i="5" a="1"/>
  <c r="C43" i="5" a="1"/>
  <c r="C19" i="5" a="1"/>
  <c r="C8" i="2" a="1"/>
  <c r="C37" i="5" a="1"/>
  <c r="C30" i="5" a="1"/>
  <c r="C16" i="2" a="1"/>
  <c r="C18" i="2" a="1"/>
  <c r="C26" i="5" a="1"/>
  <c r="C25" i="5" a="1"/>
  <c r="C17" i="2" a="1"/>
  <c r="C10" i="2" a="1"/>
  <c r="C28" i="5" a="1"/>
  <c r="C15" i="2" a="1"/>
  <c r="C11" i="2" a="1"/>
  <c r="C40" i="5" a="1"/>
  <c r="C38" i="5" a="1"/>
  <c r="C23" i="5" a="1"/>
  <c r="C31" i="5" a="1"/>
  <c r="C21" i="5" a="1"/>
  <c r="C34" i="5" a="1"/>
  <c r="C14" i="2" a="1"/>
  <c r="C42" i="5" a="1"/>
  <c r="C19" i="2" a="1"/>
  <c r="C41" i="5" a="1"/>
  <c r="C39" i="5" a="1"/>
  <c r="A40" i="3" l="1"/>
  <c r="I40" i="3" s="1"/>
  <c r="A29" i="3"/>
  <c r="H29" i="3" s="1"/>
  <c r="A39" i="3"/>
  <c r="H39" i="3" s="1"/>
  <c r="A44" i="3"/>
  <c r="H44" i="3" s="1"/>
  <c r="A36" i="3"/>
  <c r="I36" i="3" s="1"/>
  <c r="A11" i="3"/>
  <c r="I11" i="3" s="1"/>
  <c r="A25" i="3"/>
  <c r="I25" i="3" s="1"/>
  <c r="A19" i="3"/>
  <c r="H19" i="3" s="1"/>
  <c r="A33" i="3"/>
  <c r="H33" i="3" s="1"/>
  <c r="A27" i="3"/>
  <c r="H27" i="3" s="1"/>
  <c r="A7" i="3"/>
  <c r="I7" i="3" s="1"/>
  <c r="A41" i="3"/>
  <c r="I41" i="3" s="1"/>
  <c r="A35" i="3"/>
  <c r="H35" i="3" s="1"/>
  <c r="A13" i="3"/>
  <c r="I13" i="3" s="1"/>
  <c r="A26" i="3"/>
  <c r="I26" i="3" s="1"/>
  <c r="A43" i="3"/>
  <c r="I43" i="3" s="1"/>
  <c r="A30" i="3"/>
  <c r="I30" i="3" s="1"/>
  <c r="A18" i="3"/>
  <c r="I18" i="3" s="1"/>
  <c r="A34" i="3"/>
  <c r="I34" i="3" s="1"/>
  <c r="A42" i="3"/>
  <c r="H42" i="3" s="1"/>
  <c r="A31" i="3"/>
  <c r="H31" i="3" s="1"/>
  <c r="A9" i="3"/>
  <c r="H9" i="3" s="1"/>
  <c r="A37" i="3"/>
  <c r="I37" i="3" s="1"/>
  <c r="A17" i="3"/>
  <c r="H17" i="3" s="1"/>
  <c r="A8" i="3"/>
  <c r="I8" i="3" s="1"/>
  <c r="A20" i="3"/>
  <c r="I20" i="3" s="1"/>
  <c r="A16" i="3"/>
  <c r="H16" i="3" s="1"/>
  <c r="A21" i="3"/>
  <c r="I21" i="3" s="1"/>
  <c r="A12" i="3"/>
  <c r="I12" i="3" s="1"/>
  <c r="A24" i="3"/>
  <c r="I24" i="3" s="1"/>
  <c r="A38" i="3"/>
  <c r="H38" i="3" s="1"/>
  <c r="A45" i="3"/>
  <c r="H45" i="3" s="1"/>
  <c r="A32" i="3"/>
  <c r="I32" i="3" s="1"/>
  <c r="A15" i="3"/>
  <c r="H15" i="3" s="1"/>
  <c r="A22" i="3"/>
  <c r="H22" i="3" s="1"/>
  <c r="A23" i="3"/>
  <c r="I23" i="3" s="1"/>
  <c r="A28" i="3"/>
  <c r="I28" i="3" s="1"/>
  <c r="A10" i="3"/>
  <c r="H10" i="3" s="1"/>
  <c r="A14" i="3"/>
  <c r="I14" i="3" s="1"/>
  <c r="J36" i="3"/>
  <c r="J37" i="3"/>
  <c r="J17" i="3"/>
  <c r="J33" i="3"/>
  <c r="J41" i="3"/>
  <c r="J20" i="3"/>
  <c r="J16" i="3"/>
  <c r="J45" i="3"/>
  <c r="J31" i="3"/>
  <c r="J9" i="3"/>
  <c r="J11" i="3"/>
  <c r="J25" i="3"/>
  <c r="J19" i="3"/>
  <c r="J27" i="3"/>
  <c r="J7" i="3"/>
  <c r="J35" i="3"/>
  <c r="J8" i="3"/>
  <c r="J43" i="3"/>
  <c r="J21" i="3"/>
  <c r="J12" i="3"/>
  <c r="J24" i="3"/>
  <c r="J38" i="3"/>
  <c r="J32" i="3"/>
  <c r="J15" i="3"/>
  <c r="J22" i="3"/>
  <c r="J40" i="3"/>
  <c r="J13" i="3"/>
  <c r="J23" i="3"/>
  <c r="J28" i="3"/>
  <c r="J10" i="3"/>
  <c r="J14" i="3"/>
  <c r="J29" i="3"/>
  <c r="J18" i="3"/>
  <c r="J30" i="3"/>
  <c r="J26" i="3"/>
  <c r="J39" i="3"/>
  <c r="J34" i="3"/>
  <c r="J44" i="3"/>
  <c r="J42" i="3"/>
  <c r="G29" i="5"/>
  <c r="J29" i="5"/>
  <c r="G27" i="5"/>
  <c r="J27" i="5"/>
  <c r="G31" i="5"/>
  <c r="J31" i="5"/>
  <c r="J35" i="5"/>
  <c r="G35" i="5"/>
  <c r="G19" i="5"/>
  <c r="J19" i="5"/>
  <c r="G25" i="5"/>
  <c r="J25" i="5"/>
  <c r="J32" i="5"/>
  <c r="G32" i="5"/>
  <c r="G44" i="5"/>
  <c r="J44" i="5"/>
  <c r="G30" i="5"/>
  <c r="J30" i="5"/>
  <c r="G22" i="5"/>
  <c r="J22" i="5"/>
  <c r="G23" i="5"/>
  <c r="J23" i="5"/>
  <c r="G39" i="5"/>
  <c r="J39" i="5"/>
  <c r="G43" i="5"/>
  <c r="J43" i="5"/>
  <c r="G24" i="5"/>
  <c r="J24" i="5"/>
  <c r="G36" i="5"/>
  <c r="J36" i="5"/>
  <c r="G34" i="5"/>
  <c r="J34" i="5"/>
  <c r="G37" i="5"/>
  <c r="J37" i="5"/>
  <c r="J28" i="5"/>
  <c r="G28" i="5"/>
  <c r="G26" i="5"/>
  <c r="J26" i="5"/>
  <c r="G41" i="5"/>
  <c r="J41" i="5"/>
  <c r="G38" i="5"/>
  <c r="J38" i="5"/>
  <c r="J20" i="5"/>
  <c r="G20" i="5"/>
  <c r="G33" i="5"/>
  <c r="J33" i="5"/>
  <c r="G45" i="5"/>
  <c r="J45" i="5"/>
  <c r="G21" i="5"/>
  <c r="J21" i="5"/>
  <c r="G40" i="5"/>
  <c r="J40" i="5"/>
  <c r="J42" i="5"/>
  <c r="G42" i="5"/>
  <c r="C31" i="5"/>
  <c r="C39" i="5"/>
  <c r="C35" i="5"/>
  <c r="C44" i="5"/>
  <c r="C29" i="5"/>
  <c r="C25" i="5"/>
  <c r="C33" i="5"/>
  <c r="C21" i="5"/>
  <c r="C27" i="5"/>
  <c r="C19" i="5"/>
  <c r="C24" i="5"/>
  <c r="C34" i="5"/>
  <c r="C30" i="5"/>
  <c r="C37" i="5"/>
  <c r="C41" i="5"/>
  <c r="C20" i="5"/>
  <c r="C45" i="5"/>
  <c r="C22" i="5"/>
  <c r="C43" i="5"/>
  <c r="C32" i="5"/>
  <c r="C28" i="5"/>
  <c r="C26" i="5"/>
  <c r="C23" i="5"/>
  <c r="C38" i="5"/>
  <c r="C36" i="5"/>
  <c r="C40" i="5"/>
  <c r="C42" i="5"/>
  <c r="J13" i="5"/>
  <c r="G13" i="5"/>
  <c r="J7" i="5"/>
  <c r="G7" i="5"/>
  <c r="J9" i="5"/>
  <c r="G9" i="5"/>
  <c r="J18" i="5"/>
  <c r="G18" i="5"/>
  <c r="J12" i="5"/>
  <c r="G12" i="5"/>
  <c r="G16" i="5"/>
  <c r="J16" i="5"/>
  <c r="J8" i="5"/>
  <c r="G8" i="5"/>
  <c r="J10" i="5"/>
  <c r="G10" i="5"/>
  <c r="J14" i="5"/>
  <c r="G14" i="5"/>
  <c r="J11" i="5"/>
  <c r="G11" i="5"/>
  <c r="J15" i="5"/>
  <c r="G15" i="5"/>
  <c r="J17" i="5"/>
  <c r="G17" i="5"/>
  <c r="G19" i="2"/>
  <c r="J19" i="2"/>
  <c r="C19" i="2"/>
  <c r="C10" i="2"/>
  <c r="H10" i="2" s="1"/>
  <c r="C14" i="2"/>
  <c r="I14" i="2" s="1"/>
  <c r="C16" i="2"/>
  <c r="H16" i="2" s="1"/>
  <c r="C12" i="2"/>
  <c r="H12" i="2" s="1"/>
  <c r="C13" i="2"/>
  <c r="H13" i="2" s="1"/>
  <c r="C15" i="2"/>
  <c r="I15" i="2" s="1"/>
  <c r="C11" i="2"/>
  <c r="H11" i="2" s="1"/>
  <c r="C17" i="2"/>
  <c r="H17" i="2" s="1"/>
  <c r="R17" i="2" s="1"/>
  <c r="G10" i="2"/>
  <c r="J10" i="2"/>
  <c r="G14" i="2"/>
  <c r="J14" i="2"/>
  <c r="P14" i="2" s="1"/>
  <c r="G16" i="2"/>
  <c r="J16" i="2"/>
  <c r="P16" i="2" s="1"/>
  <c r="G12" i="2"/>
  <c r="J12" i="2"/>
  <c r="P12" i="2" s="1"/>
  <c r="G13" i="2"/>
  <c r="J13" i="2"/>
  <c r="P13" i="2" s="1"/>
  <c r="G15" i="2"/>
  <c r="O15" i="2" s="1"/>
  <c r="J15" i="2"/>
  <c r="G11" i="2"/>
  <c r="J11" i="2"/>
  <c r="G17" i="2"/>
  <c r="J17" i="2"/>
  <c r="P17" i="2" s="1"/>
  <c r="J18" i="2"/>
  <c r="G18" i="2"/>
  <c r="C18" i="2"/>
  <c r="C8" i="2"/>
  <c r="H8" i="2" s="1"/>
  <c r="R8" i="2" s="1"/>
  <c r="G8" i="2"/>
  <c r="J8" i="2"/>
  <c r="P8" i="2" s="1"/>
  <c r="B9" i="2" a="1"/>
  <c r="C16" i="5" a="1"/>
  <c r="C17" i="5" a="1"/>
  <c r="C15" i="5" a="1"/>
  <c r="C11" i="5" a="1"/>
  <c r="C8" i="5" a="1"/>
  <c r="C7" i="5" a="1"/>
  <c r="C18" i="5" a="1"/>
  <c r="C9" i="5" a="1"/>
  <c r="C13" i="5" a="1"/>
  <c r="C14" i="5" a="1"/>
  <c r="C12" i="5" a="1"/>
  <c r="C10" i="5" a="1"/>
  <c r="H36" i="3" l="1"/>
  <c r="P18" i="2"/>
  <c r="H34" i="3"/>
  <c r="Q14" i="2"/>
  <c r="R10" i="2"/>
  <c r="O12" i="2"/>
  <c r="P19" i="2"/>
  <c r="O14" i="2"/>
  <c r="O10" i="2"/>
  <c r="R11" i="2"/>
  <c r="P11" i="2"/>
  <c r="Q15" i="2"/>
  <c r="H32" i="3"/>
  <c r="H40" i="3"/>
  <c r="I17" i="3"/>
  <c r="I44" i="3"/>
  <c r="I42" i="3"/>
  <c r="O8" i="2"/>
  <c r="O18" i="2"/>
  <c r="P10" i="2"/>
  <c r="I19" i="3"/>
  <c r="O17" i="2"/>
  <c r="R13" i="2"/>
  <c r="P15" i="2"/>
  <c r="R12" i="2"/>
  <c r="H7" i="3"/>
  <c r="O11" i="2"/>
  <c r="R16" i="2"/>
  <c r="O13" i="2"/>
  <c r="H23" i="3"/>
  <c r="O19" i="2"/>
  <c r="O16" i="2"/>
  <c r="H11" i="3"/>
  <c r="H30" i="3"/>
  <c r="H25" i="3"/>
  <c r="I15" i="3"/>
  <c r="I22" i="3"/>
  <c r="I39" i="3"/>
  <c r="H18" i="3"/>
  <c r="I16" i="3"/>
  <c r="H8" i="3"/>
  <c r="H20" i="3"/>
  <c r="H28" i="3"/>
  <c r="I10" i="3"/>
  <c r="H12" i="3"/>
  <c r="H43" i="3"/>
  <c r="I35" i="3"/>
  <c r="H41" i="3"/>
  <c r="I33" i="3"/>
  <c r="H37" i="3"/>
  <c r="I27" i="3"/>
  <c r="H21" i="3"/>
  <c r="H26" i="3"/>
  <c r="I9" i="3"/>
  <c r="I31" i="3"/>
  <c r="H13" i="3"/>
  <c r="H14" i="3"/>
  <c r="I29" i="3"/>
  <c r="H24" i="3"/>
  <c r="I38" i="3"/>
  <c r="I45" i="3"/>
  <c r="H34" i="5"/>
  <c r="I34" i="5"/>
  <c r="H28" i="5"/>
  <c r="I28" i="5"/>
  <c r="H30" i="5"/>
  <c r="I30" i="5"/>
  <c r="H36" i="5"/>
  <c r="I36" i="5"/>
  <c r="H23" i="5"/>
  <c r="I23" i="5"/>
  <c r="H38" i="5"/>
  <c r="I38" i="5"/>
  <c r="H19" i="5"/>
  <c r="I19" i="5"/>
  <c r="H26" i="5"/>
  <c r="I26" i="5"/>
  <c r="H32" i="5"/>
  <c r="I32" i="5"/>
  <c r="H24" i="5"/>
  <c r="I24" i="5"/>
  <c r="H21" i="5"/>
  <c r="I21" i="5"/>
  <c r="H43" i="5"/>
  <c r="I43" i="5"/>
  <c r="H33" i="5"/>
  <c r="I33" i="5"/>
  <c r="H22" i="5"/>
  <c r="I22" i="5"/>
  <c r="H25" i="5"/>
  <c r="I25" i="5"/>
  <c r="H27" i="5"/>
  <c r="I27" i="5"/>
  <c r="H45" i="5"/>
  <c r="I45" i="5"/>
  <c r="H41" i="5"/>
  <c r="I41" i="5"/>
  <c r="H35" i="5"/>
  <c r="I35" i="5"/>
  <c r="H29" i="5"/>
  <c r="I29" i="5"/>
  <c r="H20" i="5"/>
  <c r="I20" i="5"/>
  <c r="H44" i="5"/>
  <c r="I44" i="5"/>
  <c r="H42" i="5"/>
  <c r="I42" i="5"/>
  <c r="H39" i="5"/>
  <c r="I39" i="5"/>
  <c r="H40" i="5"/>
  <c r="I40" i="5"/>
  <c r="H37" i="5"/>
  <c r="I37" i="5"/>
  <c r="H31" i="5"/>
  <c r="I31" i="5"/>
  <c r="C10" i="5"/>
  <c r="C18" i="5"/>
  <c r="C14" i="5"/>
  <c r="C11" i="5"/>
  <c r="C8" i="5"/>
  <c r="C9" i="5"/>
  <c r="C17" i="5"/>
  <c r="C12" i="5"/>
  <c r="C16" i="5"/>
  <c r="C7" i="5"/>
  <c r="C15" i="5"/>
  <c r="C13" i="5"/>
  <c r="H19" i="2"/>
  <c r="R19" i="2" s="1"/>
  <c r="I19" i="2"/>
  <c r="Q19" i="2" s="1"/>
  <c r="I16" i="2"/>
  <c r="Q16" i="2" s="1"/>
  <c r="I12" i="2"/>
  <c r="Q12" i="2" s="1"/>
  <c r="H14" i="2"/>
  <c r="R14" i="2" s="1"/>
  <c r="H15" i="2"/>
  <c r="R15" i="2" s="1"/>
  <c r="I10" i="2"/>
  <c r="Q10" i="2" s="1"/>
  <c r="I17" i="2"/>
  <c r="Q17" i="2" s="1"/>
  <c r="I13" i="2"/>
  <c r="Q13" i="2" s="1"/>
  <c r="I11" i="2"/>
  <c r="Q11" i="2" s="1"/>
  <c r="H18" i="2"/>
  <c r="R18" i="2" s="1"/>
  <c r="I18" i="2"/>
  <c r="Q18" i="2" s="1"/>
  <c r="I8" i="2"/>
  <c r="Q8" i="2" s="1"/>
  <c r="B9" i="2"/>
  <c r="J9" i="2" s="1"/>
  <c r="B7" i="2" a="1"/>
  <c r="C9" i="2" a="1"/>
  <c r="G9" i="2" l="1"/>
  <c r="O9" i="2" s="1"/>
  <c r="I13" i="5"/>
  <c r="H13" i="5"/>
  <c r="I7" i="5"/>
  <c r="H7" i="5"/>
  <c r="I12" i="5"/>
  <c r="H12" i="5"/>
  <c r="H11" i="5"/>
  <c r="I11" i="5"/>
  <c r="I15" i="5"/>
  <c r="H15" i="5"/>
  <c r="I16" i="5"/>
  <c r="H16" i="5"/>
  <c r="I8" i="5"/>
  <c r="H8" i="5"/>
  <c r="H18" i="5"/>
  <c r="I18" i="5"/>
  <c r="I17" i="5"/>
  <c r="H17" i="5"/>
  <c r="I9" i="5"/>
  <c r="H9" i="5"/>
  <c r="H14" i="5"/>
  <c r="I14" i="5"/>
  <c r="H10" i="5"/>
  <c r="I10" i="5"/>
  <c r="C9" i="2"/>
  <c r="H9" i="2" s="1"/>
  <c r="B7" i="2"/>
  <c r="G7" i="2" s="1"/>
  <c r="C7" i="2" a="1"/>
  <c r="P9" i="2" l="1"/>
  <c r="R9" i="2"/>
  <c r="I9" i="2"/>
  <c r="Q9" i="2" s="1"/>
  <c r="J7" i="2"/>
  <c r="P7" i="2" s="1"/>
  <c r="C7" i="2"/>
  <c r="O7" i="2" l="1"/>
  <c r="H7" i="2"/>
  <c r="R7" i="2" s="1"/>
  <c r="I7" i="2"/>
  <c r="Q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<sst xmlns="http://schemas.openxmlformats.org/spreadsheetml/2006/main" count="360" uniqueCount="227">
  <si>
    <t>Chloe Kirby</t>
  </si>
  <si>
    <t>Tony Weaver</t>
  </si>
  <si>
    <t>Teagan Murphy</t>
  </si>
  <si>
    <t>Cameron Rivera</t>
  </si>
  <si>
    <t>Lillian Espinoza</t>
  </si>
  <si>
    <t>Dallas Villegas</t>
  </si>
  <si>
    <t>Jessie Rosario</t>
  </si>
  <si>
    <t>Jedidiah Perkins</t>
  </si>
  <si>
    <t>Sage Camacho</t>
  </si>
  <si>
    <t>Tatum Tate</t>
  </si>
  <si>
    <t>Skye Delacruz</t>
  </si>
  <si>
    <t>Memphis Roman</t>
  </si>
  <si>
    <t>Astrid Newton</t>
  </si>
  <si>
    <t>Santino Hoffman</t>
  </si>
  <si>
    <t>Aspen Douglas</t>
  </si>
  <si>
    <t>Derek Wilson</t>
  </si>
  <si>
    <t>Luna Gilbert</t>
  </si>
  <si>
    <t>Tobias Watson</t>
  </si>
  <si>
    <t>Hailey Navarro</t>
  </si>
  <si>
    <t>Reid Tang</t>
  </si>
  <si>
    <t>Belle Cline</t>
  </si>
  <si>
    <t>Cullen Contreras</t>
  </si>
  <si>
    <t>Daniela Morrow</t>
  </si>
  <si>
    <t>Kyree Kirby</t>
  </si>
  <si>
    <t>Skyla Miller</t>
  </si>
  <si>
    <t>Benjamin Knox</t>
  </si>
  <si>
    <t>Kallie Oliver</t>
  </si>
  <si>
    <t>Karson Shepard</t>
  </si>
  <si>
    <t>Noor Carrillo</t>
  </si>
  <si>
    <t>Wade Stanley</t>
  </si>
  <si>
    <t>Gracelyn Nelson</t>
  </si>
  <si>
    <t>Dylan Rollins</t>
  </si>
  <si>
    <t>Araceli McIntyre</t>
  </si>
  <si>
    <t>Eliseo Gates</t>
  </si>
  <si>
    <t>Melina Peters</t>
  </si>
  <si>
    <t>Patrick Marsh</t>
  </si>
  <si>
    <t>Adelina Tapia</t>
  </si>
  <si>
    <t>Samir Rangel</t>
  </si>
  <si>
    <t>Gloria Frederick</t>
  </si>
  <si>
    <t>Kase Lindsey</t>
  </si>
  <si>
    <t>Colette Meadows</t>
  </si>
  <si>
    <t>Wayne Porter</t>
  </si>
  <si>
    <t>Ryleigh McKenzie</t>
  </si>
  <si>
    <t>Scott Valdez</t>
  </si>
  <si>
    <t>Diana Rivas</t>
  </si>
  <si>
    <t>Damon Middleton</t>
  </si>
  <si>
    <t>Madalyn McMahon</t>
  </si>
  <si>
    <t>Jakob Solis</t>
  </si>
  <si>
    <t>Miracle Trevino</t>
  </si>
  <si>
    <t>Jaime Cuevas</t>
  </si>
  <si>
    <t>Adele Strong</t>
  </si>
  <si>
    <t>Axl Combs</t>
  </si>
  <si>
    <t>Irene Alvarado</t>
  </si>
  <si>
    <t>Andres Le</t>
  </si>
  <si>
    <t>Myla Everett</t>
  </si>
  <si>
    <t>Camilo Brewer</t>
  </si>
  <si>
    <t>Thea Middleton</t>
  </si>
  <si>
    <t>Misael Barrett</t>
  </si>
  <si>
    <t>Kendall Spencer</t>
  </si>
  <si>
    <t>Ace Ryan</t>
  </si>
  <si>
    <t>Morgan Cummings</t>
  </si>
  <si>
    <t>Raiden Delacruz</t>
  </si>
  <si>
    <t>Celine Felix</t>
  </si>
  <si>
    <t>Rodney Howe</t>
  </si>
  <si>
    <t>Persephone Zavala</t>
  </si>
  <si>
    <t>Dillon Chavez</t>
  </si>
  <si>
    <t>Nevaeh Barber</t>
  </si>
  <si>
    <t>Solomon Richards</t>
  </si>
  <si>
    <t>Trinity Mayer</t>
  </si>
  <si>
    <t>Yahir Salas</t>
  </si>
  <si>
    <t>Amber Summers</t>
  </si>
  <si>
    <t>Darius Velez</t>
  </si>
  <si>
    <t>Megan Boyle</t>
  </si>
  <si>
    <t>Robin Walters</t>
  </si>
  <si>
    <t>Samara Norris</t>
  </si>
  <si>
    <t>Cairo Gregory</t>
  </si>
  <si>
    <t>Alaya Prince</t>
  </si>
  <si>
    <t>Aron Watkins</t>
  </si>
  <si>
    <t>Lola Joseph</t>
  </si>
  <si>
    <t>Kyle Fitzgerald</t>
  </si>
  <si>
    <t>Marlee Gill</t>
  </si>
  <si>
    <t>Matthias Valentine</t>
  </si>
  <si>
    <t>August Barron</t>
  </si>
  <si>
    <t>Dustin Pena</t>
  </si>
  <si>
    <t>Rachel Friedman</t>
  </si>
  <si>
    <t>Darwin Dejesus</t>
  </si>
  <si>
    <t>Julissa Farmer</t>
  </si>
  <si>
    <t>Jamison Weaver</t>
  </si>
  <si>
    <t>Teagan Kelly</t>
  </si>
  <si>
    <t>Cooper Woodard</t>
  </si>
  <si>
    <t>Aubrie Hicks</t>
  </si>
  <si>
    <t>Maddox Dickson</t>
  </si>
  <si>
    <t>Emmalynn Perry</t>
  </si>
  <si>
    <t>Waylon O’brien</t>
  </si>
  <si>
    <t>Joanna Schultz</t>
  </si>
  <si>
    <t>Cody Schaefer</t>
  </si>
  <si>
    <t>Mavis McLaughlin</t>
  </si>
  <si>
    <t>Ibrahim Tang</t>
  </si>
  <si>
    <t>Belle Valencia</t>
  </si>
  <si>
    <t>Dax Blake</t>
  </si>
  <si>
    <t>Amanda Medina</t>
  </si>
  <si>
    <t>George Benson</t>
  </si>
  <si>
    <t>Collins Meyer</t>
  </si>
  <si>
    <t>Tristan Chan</t>
  </si>
  <si>
    <t>Hattie Chan</t>
  </si>
  <si>
    <t>Frank Washington</t>
  </si>
  <si>
    <t>Valerie Hill</t>
  </si>
  <si>
    <t>Isaac Chapman</t>
  </si>
  <si>
    <t>Zuri Fischer</t>
  </si>
  <si>
    <t>Leonidas Hardin</t>
  </si>
  <si>
    <t>Vada Guzman</t>
  </si>
  <si>
    <t>Jude Mata</t>
  </si>
  <si>
    <t>Lillie Shannon</t>
  </si>
  <si>
    <t>Eliel Christensen</t>
  </si>
  <si>
    <t>Carmen Hunter</t>
  </si>
  <si>
    <t>Archer Kaur</t>
  </si>
  <si>
    <t>Holland Delgado</t>
  </si>
  <si>
    <t>Colt Frazier</t>
  </si>
  <si>
    <t>Octavia Mitchell</t>
  </si>
  <si>
    <t>Jaxon Walker</t>
  </si>
  <si>
    <t>Hazel Collier</t>
  </si>
  <si>
    <t>Edison McGuire</t>
  </si>
  <si>
    <t>April Frost</t>
  </si>
  <si>
    <t>Dario Richardson</t>
  </si>
  <si>
    <t>Allison Cummings</t>
  </si>
  <si>
    <t>Raiden Hardy</t>
  </si>
  <si>
    <t>Jessica Lane</t>
  </si>
  <si>
    <t>Matias Schwartz</t>
  </si>
  <si>
    <t>Lilliana Stein</t>
  </si>
  <si>
    <t>Creed Willis</t>
  </si>
  <si>
    <t>Alexa Orozco</t>
  </si>
  <si>
    <t>Keanu Nava</t>
  </si>
  <si>
    <t>Scout Patel</t>
  </si>
  <si>
    <t>Parker Morrison</t>
  </si>
  <si>
    <t>Rebecca Rice</t>
  </si>
  <si>
    <t>Graham Riley</t>
  </si>
  <si>
    <t>Kayla Dalton</t>
  </si>
  <si>
    <t>Fletcher Rubio</t>
  </si>
  <si>
    <t>Hadassah Salazar</t>
  </si>
  <si>
    <t>Brody Solis</t>
  </si>
  <si>
    <t>Miracle Diaz</t>
  </si>
  <si>
    <t>Nathan Davis</t>
  </si>
  <si>
    <t>Mia Saunders</t>
  </si>
  <si>
    <t>Kasen Raymond</t>
  </si>
  <si>
    <t>Hadlee Hubbard</t>
  </si>
  <si>
    <t>Forrest Duke</t>
  </si>
  <si>
    <t>Melani Rosas</t>
  </si>
  <si>
    <t>Remi Clements</t>
  </si>
  <si>
    <t>Cara Wolfe</t>
  </si>
  <si>
    <t>Donovan Ali</t>
  </si>
  <si>
    <t>Zelda Howell</t>
  </si>
  <si>
    <t>Bradley Ware</t>
  </si>
  <si>
    <t>Eileen Dyer</t>
  </si>
  <si>
    <t>Atreus Patton</t>
  </si>
  <si>
    <t>Lorelei Cooper</t>
  </si>
  <si>
    <t>Jonathan Nichols</t>
  </si>
  <si>
    <t>Aliyah Strong</t>
  </si>
  <si>
    <t>Axl Gordon</t>
  </si>
  <si>
    <t>Taylor Serrano</t>
  </si>
  <si>
    <t>Milan Miranda</t>
  </si>
  <si>
    <t>Amina Bender</t>
  </si>
  <si>
    <t>Zavier Barnes</t>
  </si>
  <si>
    <t>Liliana Hart</t>
  </si>
  <si>
    <t>Joel Zhang</t>
  </si>
  <si>
    <t>Sarai Walls</t>
  </si>
  <si>
    <t>Larry Vaughn</t>
  </si>
  <si>
    <t>Reign Rollins</t>
  </si>
  <si>
    <t>Wes Beil</t>
  </si>
  <si>
    <t>Itzel Wheeler</t>
  </si>
  <si>
    <t>Kenneth Reeves</t>
  </si>
  <si>
    <t>Lana Spence</t>
  </si>
  <si>
    <t>Cillian Stewart</t>
  </si>
  <si>
    <t>Maya Wolf</t>
  </si>
  <si>
    <t>Jase Schneider</t>
  </si>
  <si>
    <t>Delaney Glenn</t>
  </si>
  <si>
    <t>Zaid Blake</t>
  </si>
  <si>
    <t>Amanda Walls</t>
  </si>
  <si>
    <t>Larry Dawson</t>
  </si>
  <si>
    <t>Veronica Rivera</t>
  </si>
  <si>
    <t>Charles Griffin</t>
  </si>
  <si>
    <t>Charlie Osborne</t>
  </si>
  <si>
    <t>Augustus Ramsey</t>
  </si>
  <si>
    <t>Lyric Howe</t>
  </si>
  <si>
    <t>Alaric Mullen</t>
  </si>
  <si>
    <t>Shay Bowen</t>
  </si>
  <si>
    <t>Trevor Fernandez</t>
  </si>
  <si>
    <t>Amara Hart</t>
  </si>
  <si>
    <t>Joel Lu</t>
  </si>
  <si>
    <t>Emani Lam</t>
  </si>
  <si>
    <t>Bodie Robinson</t>
  </si>
  <si>
    <t>Nora Chase</t>
  </si>
  <si>
    <t>Otis Nolan</t>
  </si>
  <si>
    <t>Itzayana Carey</t>
  </si>
  <si>
    <t>Watson Brennan</t>
  </si>
  <si>
    <t>Elodie Knox</t>
  </si>
  <si>
    <t>Valentin Warren</t>
  </si>
  <si>
    <t>Sloane Cherry</t>
  </si>
  <si>
    <t>Rome Guevara</t>
  </si>
  <si>
    <t>Teresa Lopez</t>
  </si>
  <si>
    <t>Michael Delarosa</t>
  </si>
  <si>
    <t>Iyla Johnston</t>
  </si>
  <si>
    <t>Felix Rasmussen</t>
  </si>
  <si>
    <t>Esperanza Jarvis</t>
  </si>
  <si>
    <t>Marlon Short</t>
  </si>
  <si>
    <t>Cheyenne Tyler</t>
  </si>
  <si>
    <t>Emmitt Perry</t>
  </si>
  <si>
    <t>Clara Lewis</t>
  </si>
  <si>
    <t>First</t>
  </si>
  <si>
    <t>Last</t>
  </si>
  <si>
    <t xml:space="preserve">dev </t>
  </si>
  <si>
    <t>Clark Kristian</t>
  </si>
  <si>
    <t>Middle</t>
  </si>
  <si>
    <t>Middle2</t>
  </si>
  <si>
    <t>Carly Rey McIntosh</t>
  </si>
  <si>
    <t>McIntosh Carly</t>
  </si>
  <si>
    <t>ReidNarTang</t>
  </si>
  <si>
    <t>Cline Belle</t>
  </si>
  <si>
    <t>NAMES</t>
  </si>
  <si>
    <t>Duplicate Name Finder</t>
  </si>
  <si>
    <t/>
  </si>
  <si>
    <t>PROCESS 1</t>
  </si>
  <si>
    <t>PROCESS 2</t>
  </si>
  <si>
    <t>name</t>
  </si>
  <si>
    <t>ss</t>
  </si>
  <si>
    <t>x</t>
  </si>
  <si>
    <t>Name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</si>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</sst>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\-00\-0000"/>
  </numFmts>
  <fonts count="6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Inherit"/>
    </font>
    <font>
      <sz val="18"/>
      <color theme="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 applyAlignment="1">
      <alignment horizontal="left" vertical="center" wrapText="1" indent="1"/>
    </xf>
    <xf numFmtId="164" fontId="3" fillId="0" borderId="0" xfId="0" applyNumberFormat="1" applyFont="1" applyAlignment="1">
      <alignment horizontal="left" vertical="center" wrapText="1" indent="1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0" fillId="0" borderId="0" xfId="0" applyFill="1"/>
    <xf numFmtId="164" fontId="0" fillId="2" borderId="0" xfId="0" applyNumberFormat="1" applyFill="1"/>
    <xf numFmtId="0" fontId="0" fillId="4" borderId="0" xfId="0" applyFill="1"/>
    <xf numFmtId="0" fontId="4" fillId="4" borderId="0" xfId="0" applyFont="1" applyFill="1"/>
    <xf numFmtId="0" fontId="5" fillId="0" borderId="1" xfId="0" applyFont="1" applyBorder="1"/>
    <xf numFmtId="0" fontId="0" fillId="5" borderId="0" xfId="0" applyFill="1"/>
    <xf numFmtId="164" fontId="0" fillId="0" borderId="0" xfId="0" applyNumberFormat="1"/>
    <xf numFmtId="0" fontId="5" fillId="0" borderId="1" xfId="0" applyFont="1" applyBorder="1" applyAlignment="1">
      <alignment horizontal="center"/>
    </xf>
    <xf numFmtId="0" fontId="3" fillId="0" borderId="0" xfId="0" applyFont="1" applyFill="1" applyAlignment="1">
      <alignment horizontal="left" vertical="center" wrapText="1" indent="1"/>
    </xf>
    <xf numFmtId="164" fontId="0" fillId="0" borderId="0" xfId="0" applyNumberFormat="1" applyFill="1"/>
    <xf numFmtId="164" fontId="0" fillId="5" borderId="0" xfId="0" applyNumberForma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2</xdr:row>
      <xdr:rowOff>114300</xdr:rowOff>
    </xdr:from>
    <xdr:to>
      <xdr:col>1</xdr:col>
      <xdr:colOff>161925</xdr:colOff>
      <xdr:row>4</xdr:row>
      <xdr:rowOff>38100</xdr:rowOff>
    </xdr:to>
    <xdr:sp macro="[0]!FINDname.FINDname" textlink="">
      <xdr:nvSpPr>
        <xdr:cNvPr id="2" name="Rectangle 1">
          <a:extLst>
            <a:ext uri="{FF2B5EF4-FFF2-40B4-BE49-F238E27FC236}">
              <a16:creationId xmlns:a16="http://schemas.microsoft.com/office/drawing/2014/main" id="{83B011FE-8A85-1B46-62AF-50ADE20B2853}"/>
            </a:ext>
          </a:extLst>
        </xdr:cNvPr>
        <xdr:cNvSpPr/>
      </xdr:nvSpPr>
      <xdr:spPr>
        <a:xfrm>
          <a:off x="438150" y="495300"/>
          <a:ext cx="1476375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Find</a:t>
          </a:r>
          <a:r>
            <a:rPr lang="en-US" sz="1100" baseline="0"/>
            <a:t> Duplicate Names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0</xdr:row>
      <xdr:rowOff>19050</xdr:rowOff>
    </xdr:from>
    <xdr:to>
      <xdr:col>2</xdr:col>
      <xdr:colOff>1276349</xdr:colOff>
      <xdr:row>1</xdr:row>
      <xdr:rowOff>190500</xdr:rowOff>
    </xdr:to>
    <xdr:sp macro="[0]!FN.FN" textlink="">
      <xdr:nvSpPr>
        <xdr:cNvPr id="3" name="Rectangle 2">
          <a:extLst>
            <a:ext uri="{FF2B5EF4-FFF2-40B4-BE49-F238E27FC236}">
              <a16:creationId xmlns:a16="http://schemas.microsoft.com/office/drawing/2014/main" id="{BB87119C-08A5-7D3D-7BAF-C87BD179D219}"/>
            </a:ext>
          </a:extLst>
        </xdr:cNvPr>
        <xdr:cNvSpPr/>
      </xdr:nvSpPr>
      <xdr:spPr>
        <a:xfrm>
          <a:off x="9524" y="19050"/>
          <a:ext cx="1266825" cy="361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Finder</a:t>
          </a:r>
        </a:p>
      </xdr:txBody>
    </xdr:sp>
    <xdr:clientData/>
  </xdr:twoCellAnchor>
  <xdr:twoCellAnchor>
    <xdr:from>
      <xdr:col>2</xdr:col>
      <xdr:colOff>619125</xdr:colOff>
      <xdr:row>4</xdr:row>
      <xdr:rowOff>66675</xdr:rowOff>
    </xdr:from>
    <xdr:to>
      <xdr:col>2</xdr:col>
      <xdr:colOff>714375</xdr:colOff>
      <xdr:row>5</xdr:row>
      <xdr:rowOff>161925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37394304-0A13-4D9E-89A9-34F51B8108CB}"/>
            </a:ext>
          </a:extLst>
        </xdr:cNvPr>
        <xdr:cNvSpPr/>
      </xdr:nvSpPr>
      <xdr:spPr>
        <a:xfrm>
          <a:off x="619125" y="752475"/>
          <a:ext cx="95250" cy="28575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19050</xdr:rowOff>
    </xdr:from>
    <xdr:to>
      <xdr:col>0</xdr:col>
      <xdr:colOff>1276349</xdr:colOff>
      <xdr:row>1</xdr:row>
      <xdr:rowOff>190500</xdr:rowOff>
    </xdr:to>
    <xdr:sp macro="[0]!FINDname2.FINDname2" textlink="">
      <xdr:nvSpPr>
        <xdr:cNvPr id="3" name="Rectangle 2">
          <a:extLst>
            <a:ext uri="{FF2B5EF4-FFF2-40B4-BE49-F238E27FC236}">
              <a16:creationId xmlns:a16="http://schemas.microsoft.com/office/drawing/2014/main" id="{FE6A56B5-84FE-4D14-9190-6B432FFCEBD8}"/>
            </a:ext>
          </a:extLst>
        </xdr:cNvPr>
        <xdr:cNvSpPr/>
      </xdr:nvSpPr>
      <xdr:spPr>
        <a:xfrm>
          <a:off x="9524" y="19050"/>
          <a:ext cx="1266825" cy="361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Finder</a:t>
          </a:r>
        </a:p>
      </xdr:txBody>
    </xdr:sp>
    <xdr:clientData/>
  </xdr:twoCellAnchor>
  <xdr:twoCellAnchor>
    <xdr:from>
      <xdr:col>0</xdr:col>
      <xdr:colOff>142875</xdr:colOff>
      <xdr:row>3</xdr:row>
      <xdr:rowOff>76200</xdr:rowOff>
    </xdr:from>
    <xdr:to>
      <xdr:col>0</xdr:col>
      <xdr:colOff>238125</xdr:colOff>
      <xdr:row>4</xdr:row>
      <xdr:rowOff>180975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8C336D0-23EB-4E8A-90F5-51F1DAF492C8}"/>
            </a:ext>
          </a:extLst>
        </xdr:cNvPr>
        <xdr:cNvSpPr/>
      </xdr:nvSpPr>
      <xdr:spPr>
        <a:xfrm>
          <a:off x="142875" y="762000"/>
          <a:ext cx="95250" cy="295275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7E98-12A7-4A11-B5C8-31FA9A4F01B9}">
  <sheetPr codeName="Sheet1"/>
  <dimension ref="A6:F262"/>
  <sheetViews>
    <sheetView workbookViewId="0">
      <selection activeCell="C21" sqref="C21"/>
    </sheetView>
  </sheetViews>
  <sheetFormatPr defaultRowHeight="15"/>
  <cols>
    <col min="1" max="1" width="21.140625" customWidth="1"/>
    <col min="2" max="2" width="19.140625" customWidth="1"/>
    <col min="3" max="3" width="15.28515625" customWidth="1"/>
    <col min="4" max="4" width="21.140625" customWidth="1"/>
    <col min="5" max="5" width="17.85546875" customWidth="1"/>
    <col min="6" max="6" width="17.5703125" customWidth="1"/>
  </cols>
  <sheetData>
    <row r="6" spans="1:3">
      <c r="A6" t="s">
        <v>222</v>
      </c>
      <c r="B6" t="s">
        <v>223</v>
      </c>
      <c r="C6" t="s">
        <v>224</v>
      </c>
    </row>
    <row r="7" spans="1:3">
      <c r="A7" t="s">
        <v>0</v>
      </c>
      <c r="B7" s="2">
        <v>693531712</v>
      </c>
      <c r="C7" t="e">
        <f>_xlfn.XLOOKUP(B7,Sheet1!$B$7:$B$33,Sheet1!$A$7:$A$33)</f>
        <v>#N/A</v>
      </c>
    </row>
    <row r="8" spans="1:3">
      <c r="A8" t="s">
        <v>1</v>
      </c>
      <c r="B8" s="2">
        <v>545738597</v>
      </c>
      <c r="C8" t="e">
        <f>_xlfn.XLOOKUP(B8,Sheet1!$B$7:$B$33,Sheet1!$A$7:$A$33)</f>
        <v>#N/A</v>
      </c>
    </row>
    <row r="9" spans="1:3">
      <c r="A9" t="s">
        <v>2</v>
      </c>
      <c r="B9" s="2">
        <v>498296011</v>
      </c>
      <c r="C9" t="e">
        <f>_xlfn.XLOOKUP(B9,Sheet1!$B$7:$B$33,Sheet1!$A$7:$A$33)</f>
        <v>#N/A</v>
      </c>
    </row>
    <row r="10" spans="1:3">
      <c r="A10" t="s">
        <v>3</v>
      </c>
      <c r="B10" s="2">
        <v>252336476</v>
      </c>
      <c r="C10" t="e">
        <f>_xlfn.XLOOKUP(B10,Sheet1!$B$7:$B$33,Sheet1!$A$7:$A$33)</f>
        <v>#N/A</v>
      </c>
    </row>
    <row r="11" spans="1:3">
      <c r="A11" t="s">
        <v>4</v>
      </c>
      <c r="B11" s="2">
        <v>554289872</v>
      </c>
      <c r="C11" t="str">
        <f>_xlfn.XLOOKUP(B11,Sheet1!$B$7:$B$33,Sheet1!$A$7:$A$33)</f>
        <v>Lillian Espinoza</v>
      </c>
    </row>
    <row r="12" spans="1:3">
      <c r="A12" t="s">
        <v>5</v>
      </c>
      <c r="B12" s="2">
        <v>128433409</v>
      </c>
      <c r="C12" t="str">
        <f>_xlfn.XLOOKUP(B12,Sheet1!$B$7:$B$33,Sheet1!$A$7:$A$33)</f>
        <v>Dallas Villegas</v>
      </c>
    </row>
    <row r="13" spans="1:3">
      <c r="A13" t="s">
        <v>6</v>
      </c>
      <c r="B13" s="2">
        <v>111651356</v>
      </c>
      <c r="C13" t="str">
        <f>_xlfn.XLOOKUP(B13,Sheet1!$B$7:$B$33,Sheet1!$A$7:$A$33)</f>
        <v>Jessie Rosario</v>
      </c>
    </row>
    <row r="14" spans="1:3">
      <c r="A14" t="s">
        <v>7</v>
      </c>
      <c r="B14" s="2">
        <v>100423405</v>
      </c>
      <c r="C14" t="str">
        <f>_xlfn.XLOOKUP(B14,Sheet1!$B$7:$B$33,Sheet1!$A$7:$A$33)</f>
        <v>Jedidiah Perkins</v>
      </c>
    </row>
    <row r="15" spans="1:3">
      <c r="A15" t="s">
        <v>8</v>
      </c>
      <c r="B15" s="2">
        <v>810895892</v>
      </c>
      <c r="C15" t="e">
        <f>_xlfn.XLOOKUP(B15,Sheet1!$B$7:$B$33,Sheet1!$A$7:$A$33)</f>
        <v>#N/A</v>
      </c>
    </row>
    <row r="16" spans="1:3">
      <c r="A16" t="s">
        <v>9</v>
      </c>
      <c r="B16" s="2">
        <v>890690125</v>
      </c>
      <c r="C16" t="str">
        <f>_xlfn.XLOOKUP(B16,Sheet1!$B$7:$B$33,Sheet1!$A$7:$A$33)</f>
        <v>Tatum Tate</v>
      </c>
    </row>
    <row r="17" spans="1:3">
      <c r="A17" t="s">
        <v>10</v>
      </c>
      <c r="B17" s="2">
        <v>476349029</v>
      </c>
      <c r="C17" t="str">
        <f>_xlfn.XLOOKUP(B17,Sheet1!$B$7:$B$33,Sheet1!$A$7:$A$33)</f>
        <v>Skye Delacruz</v>
      </c>
    </row>
    <row r="18" spans="1:3">
      <c r="A18" t="s">
        <v>11</v>
      </c>
      <c r="B18" s="2">
        <v>331741618</v>
      </c>
      <c r="C18" t="str">
        <f>_xlfn.XLOOKUP(B18,Sheet1!$B$7:$B$33,Sheet1!$A$7:$A$33)</f>
        <v>Memphis Roman</v>
      </c>
    </row>
    <row r="19" spans="1:3">
      <c r="A19" t="s">
        <v>12</v>
      </c>
      <c r="B19" s="2">
        <v>547976881</v>
      </c>
      <c r="C19" t="str">
        <f>_xlfn.XLOOKUP(B19,Sheet1!$B$7:$B$33,Sheet1!$A$7:$A$33)</f>
        <v>Astrid Newton</v>
      </c>
    </row>
    <row r="20" spans="1:3">
      <c r="A20" t="s">
        <v>13</v>
      </c>
      <c r="B20" s="2">
        <v>942903281</v>
      </c>
      <c r="C20" t="e">
        <f>_xlfn.XLOOKUP(B20,Sheet1!$B$7:$B$33,Sheet1!$A$7:$A$33)</f>
        <v>#N/A</v>
      </c>
    </row>
    <row r="21" spans="1:3">
      <c r="A21" t="s">
        <v>14</v>
      </c>
      <c r="B21" s="2">
        <v>192588554</v>
      </c>
      <c r="C21" t="e">
        <f>_xlfn.XLOOKUP(B21,Sheet1!$B$7:$B$33,Sheet1!$A$7:$A$33)</f>
        <v>#N/A</v>
      </c>
    </row>
    <row r="22" spans="1:3">
      <c r="A22" t="s">
        <v>15</v>
      </c>
      <c r="B22" s="2">
        <v>920950793</v>
      </c>
      <c r="C22" t="e">
        <f>_xlfn.XLOOKUP(B22,Sheet1!$B$7:$B$33,Sheet1!$A$7:$A$33)</f>
        <v>#N/A</v>
      </c>
    </row>
    <row r="23" spans="1:3">
      <c r="A23" t="s">
        <v>16</v>
      </c>
      <c r="B23" s="2">
        <v>614334163</v>
      </c>
      <c r="C23" t="e">
        <f>_xlfn.XLOOKUP(B23,Sheet1!$B$7:$B$33,Sheet1!$A$7:$A$33)</f>
        <v>#N/A</v>
      </c>
    </row>
    <row r="24" spans="1:3">
      <c r="A24" t="s">
        <v>17</v>
      </c>
      <c r="B24" s="2">
        <v>610132154</v>
      </c>
      <c r="C24" t="e">
        <f>_xlfn.XLOOKUP(B24,Sheet1!$B$7:$B$33,Sheet1!$A$7:$A$33)</f>
        <v>#N/A</v>
      </c>
    </row>
    <row r="25" spans="1:3">
      <c r="A25" t="s">
        <v>18</v>
      </c>
      <c r="B25" s="2">
        <v>139662397</v>
      </c>
      <c r="C25" t="str">
        <f>_xlfn.XLOOKUP(B25,Sheet1!$B$7:$B$33,Sheet1!$A$7:$A$33)</f>
        <v>Carly Rey McIntosh</v>
      </c>
    </row>
    <row r="26" spans="1:3">
      <c r="A26" t="s">
        <v>21</v>
      </c>
      <c r="B26" s="2">
        <v>104983696</v>
      </c>
      <c r="C26" t="str">
        <f>_xlfn.XLOOKUP(B26,Sheet1!$B$7:$B$33,Sheet1!$A$7:$A$33)</f>
        <v>Reid Tang</v>
      </c>
    </row>
    <row r="27" spans="1:3">
      <c r="A27" t="s">
        <v>22</v>
      </c>
      <c r="B27" s="2">
        <v>827561915</v>
      </c>
      <c r="C27" t="e">
        <f>_xlfn.XLOOKUP(B27,Sheet1!$B$7:$B$33,Sheet1!$A$7:$A$33)</f>
        <v>#N/A</v>
      </c>
    </row>
    <row r="28" spans="1:3">
      <c r="A28" t="s">
        <v>23</v>
      </c>
      <c r="B28" s="2">
        <v>661802306</v>
      </c>
      <c r="C28" t="str">
        <f>_xlfn.XLOOKUP(B28,Sheet1!$B$7:$B$33,Sheet1!$A$7:$A$33)</f>
        <v>Cullen Contreras</v>
      </c>
    </row>
    <row r="29" spans="1:3">
      <c r="A29" t="s">
        <v>24</v>
      </c>
      <c r="B29" s="2">
        <v>412834103</v>
      </c>
      <c r="C29" t="e">
        <f>_xlfn.XLOOKUP(B29,Sheet1!$B$7:$B$33,Sheet1!$A$7:$A$33)</f>
        <v>#N/A</v>
      </c>
    </row>
    <row r="30" spans="1:3">
      <c r="A30" t="s">
        <v>25</v>
      </c>
      <c r="B30" s="2">
        <v>201243785</v>
      </c>
      <c r="C30" t="e">
        <f>_xlfn.XLOOKUP(B30,Sheet1!$B$7:$B$33,Sheet1!$A$7:$A$33)</f>
        <v>#N/A</v>
      </c>
    </row>
    <row r="31" spans="1:3">
      <c r="A31" t="s">
        <v>26</v>
      </c>
      <c r="B31" s="2">
        <v>424099939</v>
      </c>
      <c r="C31" t="e">
        <f>_xlfn.XLOOKUP(B31,Sheet1!$B$7:$B$33,Sheet1!$A$7:$A$33)</f>
        <v>#N/A</v>
      </c>
    </row>
    <row r="32" spans="1:3">
      <c r="A32" t="s">
        <v>27</v>
      </c>
      <c r="B32" s="2">
        <v>930336809</v>
      </c>
      <c r="C32" t="e">
        <f>_xlfn.XLOOKUP(B32,Sheet1!$B$7:$B$33,Sheet1!$A$7:$A$33)</f>
        <v>#N/A</v>
      </c>
    </row>
    <row r="33" spans="1:3">
      <c r="A33" t="s">
        <v>28</v>
      </c>
      <c r="B33" s="2">
        <v>751252552</v>
      </c>
      <c r="C33" t="e">
        <f>_xlfn.XLOOKUP(B33,Sheet1!$B$7:$B$33,Sheet1!$A$7:$A$33)</f>
        <v>#N/A</v>
      </c>
    </row>
    <row r="34" spans="1:3">
      <c r="A34" t="s">
        <v>29</v>
      </c>
      <c r="B34" s="2">
        <v>449889311</v>
      </c>
      <c r="C34" t="e">
        <f>_xlfn.XLOOKUP(B34,Sheet1!$B$7:$B$33,Sheet1!$A$7:$A$33)</f>
        <v>#N/A</v>
      </c>
    </row>
    <row r="35" spans="1:3">
      <c r="A35" t="s">
        <v>30</v>
      </c>
      <c r="B35" s="2">
        <v>757547383</v>
      </c>
      <c r="C35" t="e">
        <f>_xlfn.XLOOKUP(B35,Sheet1!$B$7:$B$33,Sheet1!$A$7:$A$33)</f>
        <v>#N/A</v>
      </c>
    </row>
    <row r="36" spans="1:3">
      <c r="A36" t="s">
        <v>31</v>
      </c>
      <c r="B36" s="2">
        <v>933823154</v>
      </c>
      <c r="C36" t="e">
        <f>_xlfn.XLOOKUP(B36,Sheet1!$B$7:$B$33,Sheet1!$A$7:$A$33)</f>
        <v>#N/A</v>
      </c>
    </row>
    <row r="37" spans="1:3">
      <c r="A37" t="s">
        <v>32</v>
      </c>
      <c r="B37" s="2">
        <v>138053153</v>
      </c>
      <c r="C37" t="e">
        <f>_xlfn.XLOOKUP(B37,Sheet1!$B$7:$B$33,Sheet1!$A$7:$A$33)</f>
        <v>#N/A</v>
      </c>
    </row>
    <row r="38" spans="1:3">
      <c r="A38" t="s">
        <v>33</v>
      </c>
      <c r="B38" s="2">
        <v>874629962</v>
      </c>
      <c r="C38" t="e">
        <f>_xlfn.XLOOKUP(B38,Sheet1!$B$7:$B$33,Sheet1!$A$7:$A$33)</f>
        <v>#N/A</v>
      </c>
    </row>
    <row r="39" spans="1:3">
      <c r="A39" t="s">
        <v>34</v>
      </c>
      <c r="B39" s="2">
        <v>809455888</v>
      </c>
      <c r="C39" t="e">
        <f>_xlfn.XLOOKUP(B39,Sheet1!$B$7:$B$33,Sheet1!$A$7:$A$33)</f>
        <v>#N/A</v>
      </c>
    </row>
    <row r="40" spans="1:3">
      <c r="A40" t="s">
        <v>35</v>
      </c>
      <c r="B40" s="2">
        <v>947106292</v>
      </c>
      <c r="C40" t="e">
        <f>_xlfn.XLOOKUP(B40,Sheet1!$B$7:$B$33,Sheet1!$A$7:$A$33)</f>
        <v>#N/A</v>
      </c>
    </row>
    <row r="41" spans="1:3">
      <c r="A41" t="s">
        <v>36</v>
      </c>
      <c r="B41" s="2">
        <v>287079256</v>
      </c>
      <c r="C41" t="e">
        <f>_xlfn.XLOOKUP(B41,Sheet1!$B$7:$B$33,Sheet1!$A$7:$A$33)</f>
        <v>#N/A</v>
      </c>
    </row>
    <row r="42" spans="1:3">
      <c r="A42" t="s">
        <v>37</v>
      </c>
      <c r="B42" s="2">
        <v>246619038</v>
      </c>
      <c r="C42" t="e">
        <f>_xlfn.XLOOKUP(B42,Sheet1!$B$7:$B$33,Sheet1!$A$7:$A$33)</f>
        <v>#N/A</v>
      </c>
    </row>
    <row r="43" spans="1:3">
      <c r="A43" t="s">
        <v>38</v>
      </c>
      <c r="B43" s="2">
        <v>546890201</v>
      </c>
      <c r="C43" t="e">
        <f>_xlfn.XLOOKUP(B43,Sheet1!$B$7:$B$33,Sheet1!$A$7:$A$33)</f>
        <v>#N/A</v>
      </c>
    </row>
    <row r="44" spans="1:3">
      <c r="A44" t="s">
        <v>39</v>
      </c>
      <c r="B44" s="2">
        <v>727808036</v>
      </c>
      <c r="C44" t="e">
        <f>_xlfn.XLOOKUP(B44,Sheet1!$B$7:$B$33,Sheet1!$A$7:$A$33)</f>
        <v>#N/A</v>
      </c>
    </row>
    <row r="45" spans="1:3">
      <c r="A45" t="s">
        <v>40</v>
      </c>
      <c r="B45" s="2">
        <v>341488038</v>
      </c>
      <c r="C45" t="e">
        <f>_xlfn.XLOOKUP(B45,Sheet1!$B$7:$B$33,Sheet1!$A$7:$A$33)</f>
        <v>#N/A</v>
      </c>
    </row>
    <row r="46" spans="1:3">
      <c r="A46" t="s">
        <v>41</v>
      </c>
      <c r="B46" s="2">
        <v>275100095</v>
      </c>
      <c r="C46" t="e">
        <f>_xlfn.XLOOKUP(B46,Sheet1!$B$7:$B$33,Sheet1!$A$7:$A$33)</f>
        <v>#N/A</v>
      </c>
    </row>
    <row r="47" spans="1:3">
      <c r="A47" t="s">
        <v>42</v>
      </c>
      <c r="B47" s="2">
        <v>710711188</v>
      </c>
      <c r="C47" t="e">
        <f>_xlfn.XLOOKUP(B47,Sheet1!$B$7:$B$33,Sheet1!$A$7:$A$33)</f>
        <v>#N/A</v>
      </c>
    </row>
    <row r="48" spans="1:3">
      <c r="A48" t="s">
        <v>43</v>
      </c>
      <c r="B48" s="2">
        <v>185290844</v>
      </c>
      <c r="C48" t="e">
        <f>_xlfn.XLOOKUP(B48,Sheet1!$B$7:$B$33,Sheet1!$A$7:$A$33)</f>
        <v>#N/A</v>
      </c>
    </row>
    <row r="49" spans="1:6">
      <c r="A49" t="s">
        <v>44</v>
      </c>
      <c r="B49" s="2">
        <v>246292726</v>
      </c>
      <c r="C49" t="e">
        <f>_xlfn.XLOOKUP(B49,Sheet1!$B$7:$B$33,Sheet1!$A$7:$A$33)</f>
        <v>#N/A</v>
      </c>
    </row>
    <row r="50" spans="1:6">
      <c r="A50" t="s">
        <v>45</v>
      </c>
      <c r="B50" s="2">
        <v>846685329</v>
      </c>
      <c r="C50" t="e">
        <f>_xlfn.XLOOKUP(B50,Sheet1!$B$7:$B$33,Sheet1!$A$7:$A$33)</f>
        <v>#N/A</v>
      </c>
    </row>
    <row r="51" spans="1:6">
      <c r="A51" t="s">
        <v>46</v>
      </c>
      <c r="B51" s="2">
        <v>303672768</v>
      </c>
      <c r="C51" t="e">
        <f>_xlfn.XLOOKUP(B51,Sheet1!$B$7:$B$33,Sheet1!$A$7:$A$33)</f>
        <v>#N/A</v>
      </c>
    </row>
    <row r="52" spans="1:6">
      <c r="A52" t="s">
        <v>47</v>
      </c>
      <c r="B52" s="2">
        <v>392845610</v>
      </c>
      <c r="C52" t="e">
        <f>_xlfn.XLOOKUP(B52,Sheet1!$B$7:$B$33,Sheet1!$A$7:$A$33)</f>
        <v>#N/A</v>
      </c>
    </row>
    <row r="53" spans="1:6">
      <c r="A53" t="s">
        <v>48</v>
      </c>
      <c r="B53" s="2">
        <v>469265295</v>
      </c>
      <c r="C53" t="e">
        <f>_xlfn.XLOOKUP(B53,Sheet1!$B$7:$B$33,Sheet1!$A$7:$A$33)</f>
        <v>#N/A</v>
      </c>
    </row>
    <row r="54" spans="1:6">
      <c r="A54" t="s">
        <v>49</v>
      </c>
      <c r="B54" s="2">
        <v>438126970</v>
      </c>
      <c r="C54" t="e">
        <f>_xlfn.XLOOKUP(B54,Sheet1!$B$7:$B$33,Sheet1!$A$7:$A$33)</f>
        <v>#N/A</v>
      </c>
    </row>
    <row r="55" spans="1:6">
      <c r="A55" t="s">
        <v>50</v>
      </c>
      <c r="B55" s="2">
        <v>342522125</v>
      </c>
      <c r="C55" t="e">
        <f>_xlfn.XLOOKUP(B55,Sheet1!$B$7:$B$33,Sheet1!$A$7:$A$33)</f>
        <v>#N/A</v>
      </c>
    </row>
    <row r="56" spans="1:6">
      <c r="A56" t="s">
        <v>51</v>
      </c>
      <c r="B56" s="2">
        <v>313642139</v>
      </c>
      <c r="C56" t="e">
        <f>_xlfn.XLOOKUP(B56,Sheet1!$B$7:$B$33,Sheet1!$A$7:$A$33)</f>
        <v>#N/A</v>
      </c>
    </row>
    <row r="57" spans="1:6">
      <c r="A57" t="s">
        <v>52</v>
      </c>
      <c r="B57" s="2">
        <v>579205361</v>
      </c>
      <c r="C57" t="e">
        <f>_xlfn.XLOOKUP(B57,Sheet1!$B$7:$B$33,Sheet1!$A$7:$A$33)</f>
        <v>#N/A</v>
      </c>
    </row>
    <row r="58" spans="1:6">
      <c r="A58" t="s">
        <v>53</v>
      </c>
      <c r="B58" s="2">
        <v>153045842</v>
      </c>
      <c r="C58" t="e">
        <f>_xlfn.XLOOKUP(B58,Sheet1!$B$7:$B$33,Sheet1!$A$7:$A$33)</f>
        <v>#N/A</v>
      </c>
    </row>
    <row r="59" spans="1:6">
      <c r="A59" t="s">
        <v>54</v>
      </c>
      <c r="B59" s="2">
        <v>533772343</v>
      </c>
      <c r="C59" t="e">
        <f>_xlfn.XLOOKUP(B59,Sheet1!$B$7:$B$33,Sheet1!$A$7:$A$33)</f>
        <v>#N/A</v>
      </c>
    </row>
    <row r="60" spans="1:6">
      <c r="A60" t="s">
        <v>55</v>
      </c>
      <c r="B60" s="2">
        <v>291702205</v>
      </c>
      <c r="C60" t="e">
        <f>_xlfn.XLOOKUP(B60,Sheet1!$B$7:$B$33,Sheet1!$A$7:$A$33)</f>
        <v>#N/A</v>
      </c>
    </row>
    <row r="61" spans="1:6">
      <c r="A61" t="s">
        <v>56</v>
      </c>
      <c r="B61" s="2">
        <v>561782350</v>
      </c>
      <c r="C61" t="e">
        <f>_xlfn.XLOOKUP(B61,Sheet1!$B$7:$B$33,Sheet1!$A$7:$A$33)</f>
        <v>#N/A</v>
      </c>
    </row>
    <row r="62" spans="1:6">
      <c r="A62" t="s">
        <v>57</v>
      </c>
      <c r="B62" s="2">
        <v>669282486</v>
      </c>
      <c r="C62" t="e">
        <f>_xlfn.XLOOKUP(B62,Sheet1!$B$7:$B$33,Sheet1!$A$7:$A$33)</f>
        <v>#N/A</v>
      </c>
    </row>
    <row r="63" spans="1:6">
      <c r="A63" t="s">
        <v>58</v>
      </c>
      <c r="B63" s="2">
        <v>692930316</v>
      </c>
      <c r="C63" t="e">
        <f>_xlfn.XLOOKUP(B63,Sheet1!$B$7:$B$33,Sheet1!$A$7:$A$33)</f>
        <v>#N/A</v>
      </c>
    </row>
    <row r="64" spans="1:6">
      <c r="A64" t="s">
        <v>59</v>
      </c>
      <c r="B64" s="2">
        <v>495998413</v>
      </c>
      <c r="C64" t="str">
        <f>_xlfn.XLOOKUP(B64,Sheet1!$B$7:$B$33,Sheet1!$A$7:$A$33)</f>
        <v>Ace Ryan</v>
      </c>
      <c r="F64" s="2"/>
    </row>
    <row r="65" spans="1:6">
      <c r="A65" t="s">
        <v>60</v>
      </c>
      <c r="B65" s="2">
        <v>349237126</v>
      </c>
      <c r="C65" t="str">
        <f>_xlfn.XLOOKUP(B65,Sheet1!$B$7:$B$33,Sheet1!$A$7:$A$33)</f>
        <v>Morgan Cummings</v>
      </c>
      <c r="F65" s="2"/>
    </row>
    <row r="66" spans="1:6">
      <c r="A66" t="s">
        <v>61</v>
      </c>
      <c r="B66" s="2">
        <v>671318295</v>
      </c>
      <c r="C66" t="str">
        <f>_xlfn.XLOOKUP(B66,Sheet1!$B$7:$B$33,Sheet1!$A$7:$A$33)</f>
        <v>Raiden Delacruz</v>
      </c>
      <c r="F66" s="2"/>
    </row>
    <row r="67" spans="1:6">
      <c r="A67" t="s">
        <v>62</v>
      </c>
      <c r="B67" s="2">
        <v>674146447</v>
      </c>
      <c r="C67" t="str">
        <f>_xlfn.XLOOKUP(B67,Sheet1!$B$7:$B$33,Sheet1!$A$7:$A$33)</f>
        <v>Celine Felix</v>
      </c>
      <c r="F67" s="2"/>
    </row>
    <row r="68" spans="1:6">
      <c r="A68" t="s">
        <v>63</v>
      </c>
      <c r="B68" s="2">
        <v>962329511</v>
      </c>
      <c r="C68" t="e">
        <f>_xlfn.XLOOKUP(B68,Sheet1!$B$7:$B$33,Sheet1!$A$7:$A$33)</f>
        <v>#N/A</v>
      </c>
    </row>
    <row r="69" spans="1:6">
      <c r="A69" t="s">
        <v>64</v>
      </c>
      <c r="B69" s="2">
        <v>743705550</v>
      </c>
      <c r="C69" t="e">
        <f>_xlfn.XLOOKUP(B69,Sheet1!$B$7:$B$33,Sheet1!$A$7:$A$33)</f>
        <v>#N/A</v>
      </c>
    </row>
    <row r="70" spans="1:6">
      <c r="A70" t="s">
        <v>65</v>
      </c>
      <c r="B70" s="2">
        <v>524935825</v>
      </c>
      <c r="C70" t="e">
        <f>_xlfn.XLOOKUP(B70,Sheet1!$B$7:$B$33,Sheet1!$A$7:$A$33)</f>
        <v>#N/A</v>
      </c>
    </row>
    <row r="71" spans="1:6">
      <c r="A71" t="s">
        <v>66</v>
      </c>
      <c r="B71" s="2">
        <v>323790763</v>
      </c>
      <c r="C71" t="e">
        <f>_xlfn.XLOOKUP(B71,Sheet1!$B$7:$B$33,Sheet1!$A$7:$A$33)</f>
        <v>#N/A</v>
      </c>
    </row>
    <row r="72" spans="1:6">
      <c r="A72" t="s">
        <v>67</v>
      </c>
      <c r="B72" s="2">
        <v>270798397</v>
      </c>
      <c r="C72" t="e">
        <f>_xlfn.XLOOKUP(B72,Sheet1!$B$7:$B$33,Sheet1!$A$7:$A$33)</f>
        <v>#N/A</v>
      </c>
    </row>
    <row r="73" spans="1:6">
      <c r="A73" t="s">
        <v>68</v>
      </c>
      <c r="B73" s="2">
        <v>584684352</v>
      </c>
      <c r="C73" t="e">
        <f>_xlfn.XLOOKUP(B73,Sheet1!$B$7:$B$33,Sheet1!$A$7:$A$33)</f>
        <v>#N/A</v>
      </c>
    </row>
    <row r="74" spans="1:6">
      <c r="A74" t="s">
        <v>69</v>
      </c>
      <c r="B74" s="2">
        <v>667209309</v>
      </c>
      <c r="C74" t="e">
        <f>_xlfn.XLOOKUP(B74,Sheet1!$B$7:$B$33,Sheet1!$A$7:$A$33)</f>
        <v>#N/A</v>
      </c>
    </row>
    <row r="75" spans="1:6">
      <c r="A75" t="s">
        <v>70</v>
      </c>
      <c r="B75" s="2">
        <v>765611918</v>
      </c>
      <c r="C75" t="e">
        <f>_xlfn.XLOOKUP(B75,Sheet1!$B$7:$B$33,Sheet1!$A$7:$A$33)</f>
        <v>#N/A</v>
      </c>
    </row>
    <row r="76" spans="1:6">
      <c r="A76" t="s">
        <v>71</v>
      </c>
      <c r="B76" s="2">
        <v>165170324</v>
      </c>
      <c r="C76" t="e">
        <f>_xlfn.XLOOKUP(B76,Sheet1!$B$7:$B$33,Sheet1!$A$7:$A$33)</f>
        <v>#N/A</v>
      </c>
    </row>
    <row r="77" spans="1:6">
      <c r="A77" t="s">
        <v>72</v>
      </c>
      <c r="B77" s="2">
        <v>334614421</v>
      </c>
      <c r="C77" t="e">
        <f>_xlfn.XLOOKUP(B77,Sheet1!$B$7:$B$33,Sheet1!$A$7:$A$33)</f>
        <v>#N/A</v>
      </c>
    </row>
    <row r="78" spans="1:6">
      <c r="A78" t="s">
        <v>73</v>
      </c>
      <c r="B78" s="2">
        <v>408624956</v>
      </c>
      <c r="C78" t="e">
        <f>_xlfn.XLOOKUP(B78,Sheet1!$B$7:$B$33,Sheet1!$A$7:$A$33)</f>
        <v>#N/A</v>
      </c>
    </row>
    <row r="79" spans="1:6">
      <c r="A79" t="s">
        <v>74</v>
      </c>
      <c r="B79" s="2">
        <v>261429486</v>
      </c>
      <c r="C79" t="e">
        <f>_xlfn.XLOOKUP(B79,Sheet1!$B$7:$B$33,Sheet1!$A$7:$A$33)</f>
        <v>#N/A</v>
      </c>
    </row>
    <row r="80" spans="1:6">
      <c r="A80" t="s">
        <v>75</v>
      </c>
      <c r="B80" s="2">
        <v>554233430</v>
      </c>
      <c r="C80" t="e">
        <f>_xlfn.XLOOKUP(B80,Sheet1!$B$7:$B$33,Sheet1!$A$7:$A$33)</f>
        <v>#N/A</v>
      </c>
    </row>
    <row r="81" spans="1:3">
      <c r="A81" t="s">
        <v>76</v>
      </c>
      <c r="B81" s="2">
        <v>330560811</v>
      </c>
      <c r="C81" t="e">
        <f>_xlfn.XLOOKUP(B81,Sheet1!$B$7:$B$33,Sheet1!$A$7:$A$33)</f>
        <v>#N/A</v>
      </c>
    </row>
    <row r="82" spans="1:3">
      <c r="A82" t="s">
        <v>77</v>
      </c>
      <c r="B82" s="2">
        <v>786755771</v>
      </c>
      <c r="C82" t="str">
        <f>_xlfn.XLOOKUP(B82,Sheet1!$B$7:$B$33,Sheet1!$A$7:$A$33)</f>
        <v>Aron Watkins</v>
      </c>
    </row>
    <row r="83" spans="1:3">
      <c r="A83" t="s">
        <v>78</v>
      </c>
      <c r="B83" s="2">
        <v>956468050</v>
      </c>
      <c r="C83" t="e">
        <f>_xlfn.XLOOKUP(B83,Sheet1!$B$7:$B$33,Sheet1!$A$7:$A$33)</f>
        <v>#N/A</v>
      </c>
    </row>
    <row r="84" spans="1:3">
      <c r="A84" t="s">
        <v>79</v>
      </c>
      <c r="B84" s="2">
        <v>816670732</v>
      </c>
      <c r="C84" t="e">
        <f>_xlfn.XLOOKUP(B84,Sheet1!$B$7:$B$33,Sheet1!$A$7:$A$33)</f>
        <v>#N/A</v>
      </c>
    </row>
    <row r="85" spans="1:3">
      <c r="A85" t="s">
        <v>80</v>
      </c>
      <c r="B85" s="2">
        <v>526732844</v>
      </c>
      <c r="C85" t="e">
        <f>_xlfn.XLOOKUP(B85,Sheet1!$B$7:$B$33,Sheet1!$A$7:$A$33)</f>
        <v>#N/A</v>
      </c>
    </row>
    <row r="86" spans="1:3">
      <c r="A86" t="s">
        <v>81</v>
      </c>
      <c r="B86" s="2">
        <v>649469536</v>
      </c>
      <c r="C86" t="e">
        <f>_xlfn.XLOOKUP(B86,Sheet1!$B$7:$B$33,Sheet1!$A$7:$A$33)</f>
        <v>#N/A</v>
      </c>
    </row>
    <row r="87" spans="1:3">
      <c r="A87" t="s">
        <v>82</v>
      </c>
      <c r="B87" s="2">
        <v>996439823</v>
      </c>
      <c r="C87" t="e">
        <f>_xlfn.XLOOKUP(B87,Sheet1!$B$7:$B$33,Sheet1!$A$7:$A$33)</f>
        <v>#N/A</v>
      </c>
    </row>
    <row r="88" spans="1:3">
      <c r="A88" t="s">
        <v>83</v>
      </c>
      <c r="B88" s="2">
        <v>260932758</v>
      </c>
      <c r="C88" t="e">
        <f>_xlfn.XLOOKUP(B88,Sheet1!$B$7:$B$33,Sheet1!$A$7:$A$33)</f>
        <v>#N/A</v>
      </c>
    </row>
    <row r="89" spans="1:3">
      <c r="A89" t="s">
        <v>84</v>
      </c>
      <c r="B89" s="2">
        <v>667194344</v>
      </c>
      <c r="C89" t="e">
        <f>_xlfn.XLOOKUP(B89,Sheet1!$B$7:$B$33,Sheet1!$A$7:$A$33)</f>
        <v>#N/A</v>
      </c>
    </row>
    <row r="90" spans="1:3">
      <c r="A90" t="s">
        <v>85</v>
      </c>
      <c r="B90" s="2">
        <v>393070615</v>
      </c>
      <c r="C90" t="e">
        <f>_xlfn.XLOOKUP(B90,Sheet1!$B$7:$B$33,Sheet1!$A$7:$A$33)</f>
        <v>#N/A</v>
      </c>
    </row>
    <row r="91" spans="1:3">
      <c r="A91" t="s">
        <v>86</v>
      </c>
      <c r="B91" s="2">
        <v>179306878</v>
      </c>
      <c r="C91" t="e">
        <f>_xlfn.XLOOKUP(B91,Sheet1!$B$7:$B$33,Sheet1!$A$7:$A$33)</f>
        <v>#N/A</v>
      </c>
    </row>
    <row r="92" spans="1:3">
      <c r="A92" t="s">
        <v>87</v>
      </c>
      <c r="B92" s="2">
        <v>183221285</v>
      </c>
      <c r="C92" t="e">
        <f>_xlfn.XLOOKUP(B92,Sheet1!$B$7:$B$33,Sheet1!$A$7:$A$33)</f>
        <v>#N/A</v>
      </c>
    </row>
    <row r="93" spans="1:3">
      <c r="A93" t="s">
        <v>88</v>
      </c>
      <c r="B93" s="2">
        <v>924457087</v>
      </c>
      <c r="C93" t="e">
        <f>_xlfn.XLOOKUP(B93,Sheet1!$B$7:$B$33,Sheet1!$A$7:$A$33)</f>
        <v>#N/A</v>
      </c>
    </row>
    <row r="94" spans="1:3">
      <c r="A94" t="s">
        <v>89</v>
      </c>
      <c r="B94" s="2">
        <v>600943943</v>
      </c>
      <c r="C94" t="e">
        <f>_xlfn.XLOOKUP(B94,Sheet1!$B$7:$B$33,Sheet1!$A$7:$A$33)</f>
        <v>#N/A</v>
      </c>
    </row>
    <row r="95" spans="1:3">
      <c r="A95" t="s">
        <v>90</v>
      </c>
      <c r="B95" s="2">
        <v>964064608</v>
      </c>
      <c r="C95" t="e">
        <f>_xlfn.XLOOKUP(B95,Sheet1!$B$7:$B$33,Sheet1!$A$7:$A$33)</f>
        <v>#N/A</v>
      </c>
    </row>
    <row r="96" spans="1:3">
      <c r="A96" t="s">
        <v>91</v>
      </c>
      <c r="B96" s="2">
        <v>988020110</v>
      </c>
      <c r="C96" t="e">
        <f>_xlfn.XLOOKUP(B96,Sheet1!$B$7:$B$33,Sheet1!$A$7:$A$33)</f>
        <v>#N/A</v>
      </c>
    </row>
    <row r="97" spans="1:3">
      <c r="A97" t="s">
        <v>92</v>
      </c>
      <c r="B97" s="2">
        <v>312586396</v>
      </c>
      <c r="C97" t="e">
        <f>_xlfn.XLOOKUP(B97,Sheet1!$B$7:$B$33,Sheet1!$A$7:$A$33)</f>
        <v>#N/A</v>
      </c>
    </row>
    <row r="98" spans="1:3">
      <c r="A98" t="s">
        <v>93</v>
      </c>
      <c r="B98" s="2">
        <v>667540169</v>
      </c>
      <c r="C98" t="e">
        <f>_xlfn.XLOOKUP(B98,Sheet1!$B$7:$B$33,Sheet1!$A$7:$A$33)</f>
        <v>#N/A</v>
      </c>
    </row>
    <row r="99" spans="1:3">
      <c r="A99" t="s">
        <v>94</v>
      </c>
      <c r="B99" s="2">
        <v>543973316</v>
      </c>
      <c r="C99" t="e">
        <f>_xlfn.XLOOKUP(B99,Sheet1!$B$7:$B$33,Sheet1!$A$7:$A$33)</f>
        <v>#N/A</v>
      </c>
    </row>
    <row r="100" spans="1:3">
      <c r="A100" t="s">
        <v>95</v>
      </c>
      <c r="B100" s="2">
        <v>476914458</v>
      </c>
      <c r="C100" t="e">
        <f>_xlfn.XLOOKUP(B100,Sheet1!$B$7:$B$33,Sheet1!$A$7:$A$33)</f>
        <v>#N/A</v>
      </c>
    </row>
    <row r="101" spans="1:3">
      <c r="A101" t="s">
        <v>96</v>
      </c>
      <c r="B101" s="2">
        <v>562691705</v>
      </c>
      <c r="C101" t="e">
        <f>_xlfn.XLOOKUP(B101,Sheet1!$B$7:$B$33,Sheet1!$A$7:$A$33)</f>
        <v>#N/A</v>
      </c>
    </row>
    <row r="102" spans="1:3">
      <c r="A102" t="s">
        <v>97</v>
      </c>
      <c r="B102" s="2">
        <v>660256340</v>
      </c>
      <c r="C102" t="e">
        <f>_xlfn.XLOOKUP(B102,Sheet1!$B$7:$B$33,Sheet1!$A$7:$A$33)</f>
        <v>#N/A</v>
      </c>
    </row>
    <row r="103" spans="1:3">
      <c r="A103" t="s">
        <v>98</v>
      </c>
      <c r="B103" s="2">
        <v>270722280</v>
      </c>
      <c r="C103" t="e">
        <f>_xlfn.XLOOKUP(B103,Sheet1!$B$7:$B$33,Sheet1!$A$7:$A$33)</f>
        <v>#N/A</v>
      </c>
    </row>
    <row r="104" spans="1:3">
      <c r="A104" t="s">
        <v>99</v>
      </c>
      <c r="B104" s="2">
        <v>342677912</v>
      </c>
      <c r="C104" t="e">
        <f>_xlfn.XLOOKUP(B104,Sheet1!$B$7:$B$33,Sheet1!$A$7:$A$33)</f>
        <v>#N/A</v>
      </c>
    </row>
    <row r="105" spans="1:3">
      <c r="A105" t="s">
        <v>100</v>
      </c>
      <c r="B105" s="2">
        <v>126848126</v>
      </c>
      <c r="C105" t="e">
        <f>_xlfn.XLOOKUP(B105,Sheet1!$B$7:$B$33,Sheet1!$A$7:$A$33)</f>
        <v>#N/A</v>
      </c>
    </row>
    <row r="106" spans="1:3">
      <c r="A106" t="s">
        <v>101</v>
      </c>
      <c r="B106" s="2">
        <v>339528110</v>
      </c>
      <c r="C106" t="e">
        <f>_xlfn.XLOOKUP(B106,Sheet1!$B$7:$B$33,Sheet1!$A$7:$A$33)</f>
        <v>#N/A</v>
      </c>
    </row>
    <row r="107" spans="1:3">
      <c r="A107" t="s">
        <v>102</v>
      </c>
      <c r="B107" s="2">
        <v>971377753</v>
      </c>
      <c r="C107" t="e">
        <f>_xlfn.XLOOKUP(B107,Sheet1!$B$7:$B$33,Sheet1!$A$7:$A$33)</f>
        <v>#N/A</v>
      </c>
    </row>
    <row r="108" spans="1:3">
      <c r="A108" t="s">
        <v>103</v>
      </c>
      <c r="B108" s="2">
        <v>353239496</v>
      </c>
      <c r="C108" t="e">
        <f>_xlfn.XLOOKUP(B108,Sheet1!$B$7:$B$33,Sheet1!$A$7:$A$33)</f>
        <v>#N/A</v>
      </c>
    </row>
    <row r="109" spans="1:3">
      <c r="A109" t="s">
        <v>104</v>
      </c>
      <c r="B109" s="2">
        <v>316206308</v>
      </c>
      <c r="C109" t="e">
        <f>_xlfn.XLOOKUP(B109,Sheet1!$B$7:$B$33,Sheet1!$A$7:$A$33)</f>
        <v>#N/A</v>
      </c>
    </row>
    <row r="110" spans="1:3">
      <c r="A110" t="s">
        <v>105</v>
      </c>
      <c r="B110" s="2">
        <v>786882101</v>
      </c>
      <c r="C110" t="e">
        <f>_xlfn.XLOOKUP(B110,Sheet1!$B$7:$B$33,Sheet1!$A$7:$A$33)</f>
        <v>#N/A</v>
      </c>
    </row>
    <row r="111" spans="1:3">
      <c r="A111" t="s">
        <v>106</v>
      </c>
      <c r="B111" s="2">
        <v>807901212</v>
      </c>
      <c r="C111" t="e">
        <f>_xlfn.XLOOKUP(B111,Sheet1!$B$7:$B$33,Sheet1!$A$7:$A$33)</f>
        <v>#N/A</v>
      </c>
    </row>
    <row r="112" spans="1:3">
      <c r="A112" t="s">
        <v>107</v>
      </c>
      <c r="B112" s="2">
        <v>157709708</v>
      </c>
      <c r="C112" t="e">
        <f>_xlfn.XLOOKUP(B112,Sheet1!$B$7:$B$33,Sheet1!$A$7:$A$33)</f>
        <v>#N/A</v>
      </c>
    </row>
    <row r="113" spans="1:3">
      <c r="A113" t="s">
        <v>108</v>
      </c>
      <c r="B113" s="2">
        <v>875988273</v>
      </c>
      <c r="C113" t="e">
        <f>_xlfn.XLOOKUP(B113,Sheet1!$B$7:$B$33,Sheet1!$A$7:$A$33)</f>
        <v>#N/A</v>
      </c>
    </row>
    <row r="114" spans="1:3">
      <c r="A114" t="s">
        <v>109</v>
      </c>
      <c r="B114" s="2">
        <v>941584816</v>
      </c>
      <c r="C114" t="e">
        <f>_xlfn.XLOOKUP(B114,Sheet1!$B$7:$B$33,Sheet1!$A$7:$A$33)</f>
        <v>#N/A</v>
      </c>
    </row>
    <row r="115" spans="1:3">
      <c r="A115" t="s">
        <v>110</v>
      </c>
      <c r="B115" s="2">
        <v>428208710</v>
      </c>
      <c r="C115" t="e">
        <f>_xlfn.XLOOKUP(B115,Sheet1!$B$7:$B$33,Sheet1!$A$7:$A$33)</f>
        <v>#N/A</v>
      </c>
    </row>
    <row r="116" spans="1:3">
      <c r="A116" t="s">
        <v>111</v>
      </c>
      <c r="B116" s="2">
        <v>429923443</v>
      </c>
      <c r="C116" t="e">
        <f>_xlfn.XLOOKUP(B116,Sheet1!$B$7:$B$33,Sheet1!$A$7:$A$33)</f>
        <v>#N/A</v>
      </c>
    </row>
    <row r="117" spans="1:3">
      <c r="A117" t="s">
        <v>112</v>
      </c>
      <c r="B117" s="2">
        <v>986404660</v>
      </c>
      <c r="C117" t="e">
        <f>_xlfn.XLOOKUP(B117,Sheet1!$B$7:$B$33,Sheet1!$A$7:$A$33)</f>
        <v>#N/A</v>
      </c>
    </row>
    <row r="118" spans="1:3">
      <c r="A118" t="s">
        <v>113</v>
      </c>
      <c r="B118" s="2">
        <v>253543560</v>
      </c>
      <c r="C118" t="e">
        <f>_xlfn.XLOOKUP(B118,Sheet1!$B$7:$B$33,Sheet1!$A$7:$A$33)</f>
        <v>#N/A</v>
      </c>
    </row>
    <row r="119" spans="1:3">
      <c r="A119" t="s">
        <v>114</v>
      </c>
      <c r="B119" s="2">
        <v>706668156</v>
      </c>
      <c r="C119" t="e">
        <f>_xlfn.XLOOKUP(B119,Sheet1!$B$7:$B$33,Sheet1!$A$7:$A$33)</f>
        <v>#N/A</v>
      </c>
    </row>
    <row r="120" spans="1:3">
      <c r="A120" t="s">
        <v>115</v>
      </c>
      <c r="B120" s="2">
        <v>206684794</v>
      </c>
      <c r="C120" t="e">
        <f>_xlfn.XLOOKUP(B120,Sheet1!$B$7:$B$33,Sheet1!$A$7:$A$33)</f>
        <v>#N/A</v>
      </c>
    </row>
    <row r="121" spans="1:3">
      <c r="A121" t="s">
        <v>116</v>
      </c>
      <c r="B121" s="2">
        <v>568359660</v>
      </c>
      <c r="C121" t="e">
        <f>_xlfn.XLOOKUP(B121,Sheet1!$B$7:$B$33,Sheet1!$A$7:$A$33)</f>
        <v>#N/A</v>
      </c>
    </row>
    <row r="122" spans="1:3">
      <c r="A122" t="s">
        <v>117</v>
      </c>
      <c r="B122" s="2">
        <v>872546026</v>
      </c>
      <c r="C122" t="e">
        <f>_xlfn.XLOOKUP(B122,Sheet1!$B$7:$B$33,Sheet1!$A$7:$A$33)</f>
        <v>#N/A</v>
      </c>
    </row>
    <row r="123" spans="1:3">
      <c r="A123" t="s">
        <v>118</v>
      </c>
      <c r="B123" s="2">
        <v>184149820</v>
      </c>
      <c r="C123" t="e">
        <f>_xlfn.XLOOKUP(B123,Sheet1!$B$7:$B$33,Sheet1!$A$7:$A$33)</f>
        <v>#N/A</v>
      </c>
    </row>
    <row r="124" spans="1:3">
      <c r="A124" t="s">
        <v>119</v>
      </c>
      <c r="B124" s="2">
        <v>608176760</v>
      </c>
      <c r="C124" t="e">
        <f>_xlfn.XLOOKUP(B124,Sheet1!$B$7:$B$33,Sheet1!$A$7:$A$33)</f>
        <v>#N/A</v>
      </c>
    </row>
    <row r="125" spans="1:3">
      <c r="A125" t="s">
        <v>120</v>
      </c>
      <c r="B125" s="2">
        <v>105503520</v>
      </c>
      <c r="C125" t="e">
        <f>_xlfn.XLOOKUP(B125,Sheet1!$B$7:$B$33,Sheet1!$A$7:$A$33)</f>
        <v>#N/A</v>
      </c>
    </row>
    <row r="126" spans="1:3">
      <c r="A126" t="s">
        <v>121</v>
      </c>
      <c r="B126" s="2">
        <v>366668797</v>
      </c>
      <c r="C126" t="e">
        <f>_xlfn.XLOOKUP(B126,Sheet1!$B$7:$B$33,Sheet1!$A$7:$A$33)</f>
        <v>#N/A</v>
      </c>
    </row>
    <row r="127" spans="1:3">
      <c r="A127" t="s">
        <v>122</v>
      </c>
      <c r="B127" s="2">
        <v>906481252</v>
      </c>
      <c r="C127" t="e">
        <f>_xlfn.XLOOKUP(B127,Sheet1!$B$7:$B$33,Sheet1!$A$7:$A$33)</f>
        <v>#N/A</v>
      </c>
    </row>
    <row r="128" spans="1:3">
      <c r="A128" t="s">
        <v>123</v>
      </c>
      <c r="B128" s="2">
        <v>424584680</v>
      </c>
      <c r="C128" t="e">
        <f>_xlfn.XLOOKUP(B128,Sheet1!$B$7:$B$33,Sheet1!$A$7:$A$33)</f>
        <v>#N/A</v>
      </c>
    </row>
    <row r="129" spans="1:3">
      <c r="A129" t="s">
        <v>124</v>
      </c>
      <c r="B129" s="2">
        <v>585173858</v>
      </c>
      <c r="C129" t="e">
        <f>_xlfn.XLOOKUP(B129,Sheet1!$B$7:$B$33,Sheet1!$A$7:$A$33)</f>
        <v>#N/A</v>
      </c>
    </row>
    <row r="130" spans="1:3">
      <c r="A130" t="s">
        <v>125</v>
      </c>
      <c r="B130" s="2">
        <v>336602984</v>
      </c>
      <c r="C130" t="e">
        <f>_xlfn.XLOOKUP(B130,Sheet1!$B$7:$B$33,Sheet1!$A$7:$A$33)</f>
        <v>#N/A</v>
      </c>
    </row>
    <row r="131" spans="1:3">
      <c r="A131" t="s">
        <v>126</v>
      </c>
      <c r="B131" s="2">
        <v>331899791</v>
      </c>
      <c r="C131" t="e">
        <f>_xlfn.XLOOKUP(B131,Sheet1!$B$7:$B$33,Sheet1!$A$7:$A$33)</f>
        <v>#N/A</v>
      </c>
    </row>
    <row r="132" spans="1:3">
      <c r="A132" t="s">
        <v>127</v>
      </c>
      <c r="B132" s="2">
        <v>360349347</v>
      </c>
      <c r="C132" t="e">
        <f>_xlfn.XLOOKUP(B132,Sheet1!$B$7:$B$33,Sheet1!$A$7:$A$33)</f>
        <v>#N/A</v>
      </c>
    </row>
    <row r="133" spans="1:3">
      <c r="A133" t="s">
        <v>128</v>
      </c>
      <c r="B133" s="2">
        <v>620847963</v>
      </c>
      <c r="C133" t="e">
        <f>_xlfn.XLOOKUP(B133,Sheet1!$B$7:$B$33,Sheet1!$A$7:$A$33)</f>
        <v>#N/A</v>
      </c>
    </row>
    <row r="134" spans="1:3">
      <c r="A134" t="s">
        <v>129</v>
      </c>
      <c r="B134" s="2">
        <v>318838670</v>
      </c>
      <c r="C134" t="e">
        <f>_xlfn.XLOOKUP(B134,Sheet1!$B$7:$B$33,Sheet1!$A$7:$A$33)</f>
        <v>#N/A</v>
      </c>
    </row>
    <row r="135" spans="1:3">
      <c r="A135" t="s">
        <v>130</v>
      </c>
      <c r="B135" s="2">
        <v>654409671</v>
      </c>
      <c r="C135" t="e">
        <f>_xlfn.XLOOKUP(B135,Sheet1!$B$7:$B$33,Sheet1!$A$7:$A$33)</f>
        <v>#N/A</v>
      </c>
    </row>
    <row r="136" spans="1:3">
      <c r="A136" t="s">
        <v>131</v>
      </c>
      <c r="B136" s="2">
        <v>347460788</v>
      </c>
      <c r="C136" t="e">
        <f>_xlfn.XLOOKUP(B136,Sheet1!$B$7:$B$33,Sheet1!$A$7:$A$33)</f>
        <v>#N/A</v>
      </c>
    </row>
    <row r="137" spans="1:3">
      <c r="A137" t="s">
        <v>132</v>
      </c>
      <c r="B137" s="2">
        <v>687328841</v>
      </c>
      <c r="C137" t="e">
        <f>_xlfn.XLOOKUP(B137,Sheet1!$B$7:$B$33,Sheet1!$A$7:$A$33)</f>
        <v>#N/A</v>
      </c>
    </row>
    <row r="138" spans="1:3">
      <c r="A138" t="s">
        <v>133</v>
      </c>
      <c r="B138" s="2">
        <v>406296972</v>
      </c>
      <c r="C138" t="e">
        <f>_xlfn.XLOOKUP(B138,Sheet1!$B$7:$B$33,Sheet1!$A$7:$A$33)</f>
        <v>#N/A</v>
      </c>
    </row>
    <row r="139" spans="1:3">
      <c r="A139" t="s">
        <v>134</v>
      </c>
      <c r="B139" s="2">
        <v>582732135</v>
      </c>
      <c r="C139" t="e">
        <f>_xlfn.XLOOKUP(B139,Sheet1!$B$7:$B$33,Sheet1!$A$7:$A$33)</f>
        <v>#N/A</v>
      </c>
    </row>
    <row r="140" spans="1:3">
      <c r="A140" t="s">
        <v>135</v>
      </c>
      <c r="B140" s="2">
        <v>740996643</v>
      </c>
      <c r="C140" t="e">
        <f>_xlfn.XLOOKUP(B140,Sheet1!$B$7:$B$33,Sheet1!$A$7:$A$33)</f>
        <v>#N/A</v>
      </c>
    </row>
    <row r="141" spans="1:3">
      <c r="A141" t="s">
        <v>136</v>
      </c>
      <c r="B141" s="2">
        <v>104827682</v>
      </c>
      <c r="C141" t="e">
        <f>_xlfn.XLOOKUP(B141,Sheet1!$B$7:$B$33,Sheet1!$A$7:$A$33)</f>
        <v>#N/A</v>
      </c>
    </row>
    <row r="142" spans="1:3">
      <c r="A142" t="s">
        <v>137</v>
      </c>
      <c r="B142" s="2">
        <v>665669866</v>
      </c>
      <c r="C142" t="e">
        <f>_xlfn.XLOOKUP(B142,Sheet1!$B$7:$B$33,Sheet1!$A$7:$A$33)</f>
        <v>#N/A</v>
      </c>
    </row>
    <row r="143" spans="1:3">
      <c r="A143" t="s">
        <v>138</v>
      </c>
      <c r="B143" s="2">
        <v>479249370</v>
      </c>
      <c r="C143" t="e">
        <f>_xlfn.XLOOKUP(B143,Sheet1!$B$7:$B$33,Sheet1!$A$7:$A$33)</f>
        <v>#N/A</v>
      </c>
    </row>
    <row r="144" spans="1:3">
      <c r="A144" t="s">
        <v>139</v>
      </c>
      <c r="B144" s="2">
        <v>518823024</v>
      </c>
      <c r="C144" t="e">
        <f>_xlfn.XLOOKUP(B144,Sheet1!$B$7:$B$33,Sheet1!$A$7:$A$33)</f>
        <v>#N/A</v>
      </c>
    </row>
    <row r="145" spans="1:3">
      <c r="A145" t="s">
        <v>140</v>
      </c>
      <c r="B145" s="2">
        <v>617970952</v>
      </c>
      <c r="C145" t="e">
        <f>_xlfn.XLOOKUP(B145,Sheet1!$B$7:$B$33,Sheet1!$A$7:$A$33)</f>
        <v>#N/A</v>
      </c>
    </row>
    <row r="146" spans="1:3">
      <c r="A146" t="s">
        <v>141</v>
      </c>
      <c r="B146" s="2">
        <v>867190161</v>
      </c>
      <c r="C146" t="e">
        <f>_xlfn.XLOOKUP(B146,Sheet1!$B$7:$B$33,Sheet1!$A$7:$A$33)</f>
        <v>#N/A</v>
      </c>
    </row>
    <row r="147" spans="1:3">
      <c r="A147" t="s">
        <v>142</v>
      </c>
      <c r="B147" s="2">
        <v>820027535</v>
      </c>
      <c r="C147" t="e">
        <f>_xlfn.XLOOKUP(B147,Sheet1!$B$7:$B$33,Sheet1!$A$7:$A$33)</f>
        <v>#N/A</v>
      </c>
    </row>
    <row r="148" spans="1:3">
      <c r="A148" t="s">
        <v>143</v>
      </c>
      <c r="B148" s="2">
        <v>440441598</v>
      </c>
      <c r="C148" t="e">
        <f>_xlfn.XLOOKUP(B148,Sheet1!$B$7:$B$33,Sheet1!$A$7:$A$33)</f>
        <v>#N/A</v>
      </c>
    </row>
    <row r="149" spans="1:3">
      <c r="A149" t="s">
        <v>144</v>
      </c>
      <c r="B149" s="2">
        <v>906953757</v>
      </c>
      <c r="C149" t="e">
        <f>_xlfn.XLOOKUP(B149,Sheet1!$B$7:$B$33,Sheet1!$A$7:$A$33)</f>
        <v>#N/A</v>
      </c>
    </row>
    <row r="150" spans="1:3">
      <c r="A150" t="s">
        <v>145</v>
      </c>
      <c r="B150" s="2">
        <v>941294027</v>
      </c>
      <c r="C150" t="e">
        <f>_xlfn.XLOOKUP(B150,Sheet1!$B$7:$B$33,Sheet1!$A$7:$A$33)</f>
        <v>#N/A</v>
      </c>
    </row>
    <row r="151" spans="1:3">
      <c r="A151" t="s">
        <v>146</v>
      </c>
      <c r="B151" s="2">
        <v>884249904</v>
      </c>
      <c r="C151" t="e">
        <f>_xlfn.XLOOKUP(B151,Sheet1!$B$7:$B$33,Sheet1!$A$7:$A$33)</f>
        <v>#N/A</v>
      </c>
    </row>
    <row r="152" spans="1:3">
      <c r="A152" t="s">
        <v>147</v>
      </c>
      <c r="B152" s="2">
        <v>962442580</v>
      </c>
      <c r="C152" t="e">
        <f>_xlfn.XLOOKUP(B152,Sheet1!$B$7:$B$33,Sheet1!$A$7:$A$33)</f>
        <v>#N/A</v>
      </c>
    </row>
    <row r="153" spans="1:3">
      <c r="A153" t="s">
        <v>148</v>
      </c>
      <c r="B153" s="2">
        <v>544557008</v>
      </c>
      <c r="C153" t="e">
        <f>_xlfn.XLOOKUP(B153,Sheet1!$B$7:$B$33,Sheet1!$A$7:$A$33)</f>
        <v>#N/A</v>
      </c>
    </row>
    <row r="154" spans="1:3">
      <c r="A154" t="s">
        <v>149</v>
      </c>
      <c r="B154" s="2">
        <v>677125730</v>
      </c>
      <c r="C154" t="e">
        <f>_xlfn.XLOOKUP(B154,Sheet1!$B$7:$B$33,Sheet1!$A$7:$A$33)</f>
        <v>#N/A</v>
      </c>
    </row>
    <row r="155" spans="1:3">
      <c r="A155" t="s">
        <v>150</v>
      </c>
      <c r="B155" s="2">
        <v>102825117</v>
      </c>
      <c r="C155" t="e">
        <f>_xlfn.XLOOKUP(B155,Sheet1!$B$7:$B$33,Sheet1!$A$7:$A$33)</f>
        <v>#N/A</v>
      </c>
    </row>
    <row r="156" spans="1:3">
      <c r="A156" t="s">
        <v>151</v>
      </c>
      <c r="B156" s="2">
        <v>901565687</v>
      </c>
      <c r="C156" t="e">
        <f>_xlfn.XLOOKUP(B156,Sheet1!$B$7:$B$33,Sheet1!$A$7:$A$33)</f>
        <v>#N/A</v>
      </c>
    </row>
    <row r="157" spans="1:3">
      <c r="A157" t="s">
        <v>152</v>
      </c>
      <c r="B157" s="2">
        <v>311325965</v>
      </c>
      <c r="C157" t="e">
        <f>_xlfn.XLOOKUP(B157,Sheet1!$B$7:$B$33,Sheet1!$A$7:$A$33)</f>
        <v>#N/A</v>
      </c>
    </row>
    <row r="158" spans="1:3">
      <c r="A158" t="s">
        <v>153</v>
      </c>
      <c r="B158" s="2">
        <v>499231151</v>
      </c>
      <c r="C158" t="e">
        <f>_xlfn.XLOOKUP(B158,Sheet1!$B$7:$B$33,Sheet1!$A$7:$A$33)</f>
        <v>#N/A</v>
      </c>
    </row>
    <row r="159" spans="1:3">
      <c r="A159" t="s">
        <v>154</v>
      </c>
      <c r="B159" s="2">
        <v>144698946</v>
      </c>
      <c r="C159" t="e">
        <f>_xlfn.XLOOKUP(B159,Sheet1!$B$7:$B$33,Sheet1!$A$7:$A$33)</f>
        <v>#N/A</v>
      </c>
    </row>
    <row r="160" spans="1:3">
      <c r="A160" t="s">
        <v>155</v>
      </c>
      <c r="B160" s="2">
        <v>978710018</v>
      </c>
      <c r="C160" t="e">
        <f>_xlfn.XLOOKUP(B160,Sheet1!$B$7:$B$33,Sheet1!$A$7:$A$33)</f>
        <v>#N/A</v>
      </c>
    </row>
    <row r="161" spans="1:3">
      <c r="A161" t="s">
        <v>156</v>
      </c>
      <c r="B161" s="2">
        <v>821304282</v>
      </c>
      <c r="C161" t="e">
        <f>_xlfn.XLOOKUP(B161,Sheet1!$B$7:$B$33,Sheet1!$A$7:$A$33)</f>
        <v>#N/A</v>
      </c>
    </row>
    <row r="162" spans="1:3">
      <c r="A162" t="s">
        <v>157</v>
      </c>
      <c r="B162" s="2">
        <v>350056322</v>
      </c>
      <c r="C162" t="e">
        <f>_xlfn.XLOOKUP(B162,Sheet1!$B$7:$B$33,Sheet1!$A$7:$A$33)</f>
        <v>#N/A</v>
      </c>
    </row>
    <row r="163" spans="1:3">
      <c r="A163" t="s">
        <v>158</v>
      </c>
      <c r="B163" s="2">
        <v>274979398</v>
      </c>
      <c r="C163" t="e">
        <f>_xlfn.XLOOKUP(B163,Sheet1!$B$7:$B$33,Sheet1!$A$7:$A$33)</f>
        <v>#N/A</v>
      </c>
    </row>
    <row r="164" spans="1:3">
      <c r="A164" t="s">
        <v>159</v>
      </c>
      <c r="B164" s="2">
        <v>692807967</v>
      </c>
      <c r="C164" t="e">
        <f>_xlfn.XLOOKUP(B164,Sheet1!$B$7:$B$33,Sheet1!$A$7:$A$33)</f>
        <v>#N/A</v>
      </c>
    </row>
    <row r="165" spans="1:3">
      <c r="A165" t="s">
        <v>160</v>
      </c>
      <c r="B165" s="2">
        <v>186926929</v>
      </c>
      <c r="C165" t="e">
        <f>_xlfn.XLOOKUP(B165,Sheet1!$B$7:$B$33,Sheet1!$A$7:$A$33)</f>
        <v>#N/A</v>
      </c>
    </row>
    <row r="166" spans="1:3">
      <c r="A166" t="s">
        <v>161</v>
      </c>
      <c r="B166" s="2">
        <v>316513405</v>
      </c>
      <c r="C166" t="e">
        <f>_xlfn.XLOOKUP(B166,Sheet1!$B$7:$B$33,Sheet1!$A$7:$A$33)</f>
        <v>#N/A</v>
      </c>
    </row>
    <row r="167" spans="1:3">
      <c r="A167" t="s">
        <v>162</v>
      </c>
      <c r="B167" s="2">
        <v>352503698</v>
      </c>
      <c r="C167" t="e">
        <f>_xlfn.XLOOKUP(B167,Sheet1!$B$7:$B$33,Sheet1!$A$7:$A$33)</f>
        <v>#N/A</v>
      </c>
    </row>
    <row r="168" spans="1:3">
      <c r="A168" t="s">
        <v>163</v>
      </c>
      <c r="B168" s="2">
        <v>967563009</v>
      </c>
      <c r="C168" t="e">
        <f>_xlfn.XLOOKUP(B168,Sheet1!$B$7:$B$33,Sheet1!$A$7:$A$33)</f>
        <v>#N/A</v>
      </c>
    </row>
    <row r="169" spans="1:3">
      <c r="A169" t="s">
        <v>164</v>
      </c>
      <c r="B169" s="2">
        <v>483818116</v>
      </c>
      <c r="C169" t="e">
        <f>_xlfn.XLOOKUP(B169,Sheet1!$B$7:$B$33,Sheet1!$A$7:$A$33)</f>
        <v>#N/A</v>
      </c>
    </row>
    <row r="170" spans="1:3">
      <c r="A170" t="s">
        <v>165</v>
      </c>
      <c r="B170" s="2">
        <v>503539087</v>
      </c>
      <c r="C170" t="e">
        <f>_xlfn.XLOOKUP(B170,Sheet1!$B$7:$B$33,Sheet1!$A$7:$A$33)</f>
        <v>#N/A</v>
      </c>
    </row>
    <row r="171" spans="1:3">
      <c r="A171" t="s">
        <v>166</v>
      </c>
      <c r="B171" s="2">
        <v>584801988</v>
      </c>
      <c r="C171" t="e">
        <f>_xlfn.XLOOKUP(B171,Sheet1!$B$7:$B$33,Sheet1!$A$7:$A$33)</f>
        <v>#N/A</v>
      </c>
    </row>
    <row r="172" spans="1:3">
      <c r="A172" t="s">
        <v>167</v>
      </c>
      <c r="B172" s="2">
        <v>389720026</v>
      </c>
      <c r="C172" t="e">
        <f>_xlfn.XLOOKUP(B172,Sheet1!$B$7:$B$33,Sheet1!$A$7:$A$33)</f>
        <v>#N/A</v>
      </c>
    </row>
    <row r="173" spans="1:3">
      <c r="A173" t="s">
        <v>168</v>
      </c>
      <c r="B173" s="2">
        <v>248479061</v>
      </c>
      <c r="C173" t="e">
        <f>_xlfn.XLOOKUP(B173,Sheet1!$B$7:$B$33,Sheet1!$A$7:$A$33)</f>
        <v>#N/A</v>
      </c>
    </row>
    <row r="174" spans="1:3">
      <c r="A174" t="s">
        <v>169</v>
      </c>
      <c r="B174" s="2">
        <v>126095266</v>
      </c>
      <c r="C174" t="e">
        <f>_xlfn.XLOOKUP(B174,Sheet1!$B$7:$B$33,Sheet1!$A$7:$A$33)</f>
        <v>#N/A</v>
      </c>
    </row>
    <row r="175" spans="1:3">
      <c r="A175" t="s">
        <v>170</v>
      </c>
      <c r="B175" s="2">
        <v>988708388</v>
      </c>
      <c r="C175" t="e">
        <f>_xlfn.XLOOKUP(B175,Sheet1!$B$7:$B$33,Sheet1!$A$7:$A$33)</f>
        <v>#N/A</v>
      </c>
    </row>
    <row r="176" spans="1:3">
      <c r="A176" t="s">
        <v>171</v>
      </c>
      <c r="B176" s="2">
        <v>384333572</v>
      </c>
      <c r="C176" t="e">
        <f>_xlfn.XLOOKUP(B176,Sheet1!$B$7:$B$33,Sheet1!$A$7:$A$33)</f>
        <v>#N/A</v>
      </c>
    </row>
    <row r="177" spans="1:3">
      <c r="A177" t="s">
        <v>172</v>
      </c>
      <c r="B177" s="2">
        <v>712473678</v>
      </c>
      <c r="C177" t="e">
        <f>_xlfn.XLOOKUP(B177,Sheet1!$B$7:$B$33,Sheet1!$A$7:$A$33)</f>
        <v>#N/A</v>
      </c>
    </row>
    <row r="178" spans="1:3">
      <c r="A178" t="s">
        <v>173</v>
      </c>
      <c r="B178" s="2">
        <v>271771052</v>
      </c>
      <c r="C178" t="e">
        <f>_xlfn.XLOOKUP(B178,Sheet1!$B$7:$B$33,Sheet1!$A$7:$A$33)</f>
        <v>#N/A</v>
      </c>
    </row>
    <row r="179" spans="1:3">
      <c r="A179" t="s">
        <v>174</v>
      </c>
      <c r="B179" s="2">
        <v>238663242</v>
      </c>
      <c r="C179" t="e">
        <f>_xlfn.XLOOKUP(B179,Sheet1!$B$7:$B$33,Sheet1!$A$7:$A$33)</f>
        <v>#N/A</v>
      </c>
    </row>
    <row r="180" spans="1:3">
      <c r="A180" t="s">
        <v>175</v>
      </c>
      <c r="B180" s="2">
        <v>638834150</v>
      </c>
      <c r="C180" t="e">
        <f>_xlfn.XLOOKUP(B180,Sheet1!$B$7:$B$33,Sheet1!$A$7:$A$33)</f>
        <v>#N/A</v>
      </c>
    </row>
    <row r="181" spans="1:3">
      <c r="A181" t="s">
        <v>176</v>
      </c>
      <c r="B181" s="2">
        <v>179337023</v>
      </c>
      <c r="C181" t="e">
        <f>_xlfn.XLOOKUP(B181,Sheet1!$B$7:$B$33,Sheet1!$A$7:$A$33)</f>
        <v>#N/A</v>
      </c>
    </row>
    <row r="182" spans="1:3">
      <c r="A182" t="s">
        <v>177</v>
      </c>
      <c r="B182" s="2">
        <v>300403227</v>
      </c>
      <c r="C182" t="e">
        <f>_xlfn.XLOOKUP(B182,Sheet1!$B$7:$B$33,Sheet1!$A$7:$A$33)</f>
        <v>#N/A</v>
      </c>
    </row>
    <row r="183" spans="1:3">
      <c r="A183" t="s">
        <v>178</v>
      </c>
      <c r="B183" s="2">
        <v>937317381</v>
      </c>
      <c r="C183" t="e">
        <f>_xlfn.XLOOKUP(B183,Sheet1!$B$7:$B$33,Sheet1!$A$7:$A$33)</f>
        <v>#N/A</v>
      </c>
    </row>
    <row r="184" spans="1:3">
      <c r="A184" t="s">
        <v>179</v>
      </c>
      <c r="B184" s="2">
        <v>801218866</v>
      </c>
      <c r="C184" t="e">
        <f>_xlfn.XLOOKUP(B184,Sheet1!$B$7:$B$33,Sheet1!$A$7:$A$33)</f>
        <v>#N/A</v>
      </c>
    </row>
    <row r="185" spans="1:3">
      <c r="A185" t="s">
        <v>180</v>
      </c>
      <c r="B185" s="2">
        <v>207501778</v>
      </c>
      <c r="C185" t="e">
        <f>_xlfn.XLOOKUP(B185,Sheet1!$B$7:$B$33,Sheet1!$A$7:$A$33)</f>
        <v>#N/A</v>
      </c>
    </row>
    <row r="186" spans="1:3">
      <c r="A186" t="s">
        <v>181</v>
      </c>
      <c r="B186" s="2">
        <v>206231197</v>
      </c>
      <c r="C186" t="e">
        <f>_xlfn.XLOOKUP(B186,Sheet1!$B$7:$B$33,Sheet1!$A$7:$A$33)</f>
        <v>#N/A</v>
      </c>
    </row>
    <row r="187" spans="1:3">
      <c r="A187" t="s">
        <v>182</v>
      </c>
      <c r="B187" s="2">
        <v>493408507</v>
      </c>
      <c r="C187" t="e">
        <f>_xlfn.XLOOKUP(B187,Sheet1!$B$7:$B$33,Sheet1!$A$7:$A$33)</f>
        <v>#N/A</v>
      </c>
    </row>
    <row r="188" spans="1:3">
      <c r="A188" t="s">
        <v>183</v>
      </c>
      <c r="B188" s="2">
        <v>228934238</v>
      </c>
      <c r="C188" t="e">
        <f>_xlfn.XLOOKUP(B188,Sheet1!$B$7:$B$33,Sheet1!$A$7:$A$33)</f>
        <v>#N/A</v>
      </c>
    </row>
    <row r="189" spans="1:3">
      <c r="A189" t="s">
        <v>184</v>
      </c>
      <c r="B189" s="2">
        <v>780643304</v>
      </c>
      <c r="C189" t="e">
        <f>_xlfn.XLOOKUP(B189,Sheet1!$B$7:$B$33,Sheet1!$A$7:$A$33)</f>
        <v>#N/A</v>
      </c>
    </row>
    <row r="190" spans="1:3">
      <c r="A190" t="s">
        <v>185</v>
      </c>
      <c r="B190" s="2">
        <v>282155839</v>
      </c>
      <c r="C190" t="e">
        <f>_xlfn.XLOOKUP(B190,Sheet1!$B$7:$B$33,Sheet1!$A$7:$A$33)</f>
        <v>#N/A</v>
      </c>
    </row>
    <row r="191" spans="1:3">
      <c r="A191" t="s">
        <v>186</v>
      </c>
      <c r="B191" s="2">
        <v>380410226</v>
      </c>
      <c r="C191" t="e">
        <f>_xlfn.XLOOKUP(B191,Sheet1!$B$7:$B$33,Sheet1!$A$7:$A$33)</f>
        <v>#N/A</v>
      </c>
    </row>
    <row r="192" spans="1:3">
      <c r="A192" t="s">
        <v>187</v>
      </c>
      <c r="B192" s="2">
        <v>539726879</v>
      </c>
      <c r="C192" t="e">
        <f>_xlfn.XLOOKUP(B192,Sheet1!$B$7:$B$33,Sheet1!$A$7:$A$33)</f>
        <v>#N/A</v>
      </c>
    </row>
    <row r="193" spans="1:3">
      <c r="A193" t="s">
        <v>188</v>
      </c>
      <c r="B193" s="2">
        <v>559858337</v>
      </c>
      <c r="C193" t="e">
        <f>_xlfn.XLOOKUP(B193,Sheet1!$B$7:$B$33,Sheet1!$A$7:$A$33)</f>
        <v>#N/A</v>
      </c>
    </row>
    <row r="194" spans="1:3">
      <c r="A194" t="s">
        <v>189</v>
      </c>
      <c r="B194" s="2">
        <v>475386003</v>
      </c>
      <c r="C194" t="e">
        <f>_xlfn.XLOOKUP(B194,Sheet1!$B$7:$B$33,Sheet1!$A$7:$A$33)</f>
        <v>#N/A</v>
      </c>
    </row>
    <row r="195" spans="1:3">
      <c r="A195" t="s">
        <v>190</v>
      </c>
      <c r="B195" s="2">
        <v>659786692</v>
      </c>
      <c r="C195" t="e">
        <f>_xlfn.XLOOKUP(B195,Sheet1!$B$7:$B$33,Sheet1!$A$7:$A$33)</f>
        <v>#N/A</v>
      </c>
    </row>
    <row r="196" spans="1:3">
      <c r="A196" t="s">
        <v>191</v>
      </c>
      <c r="B196" s="2">
        <v>114056181</v>
      </c>
      <c r="C196" t="e">
        <f>_xlfn.XLOOKUP(B196,Sheet1!$B$7:$B$33,Sheet1!$A$7:$A$33)</f>
        <v>#N/A</v>
      </c>
    </row>
    <row r="197" spans="1:3">
      <c r="A197" t="s">
        <v>192</v>
      </c>
      <c r="B197" s="2">
        <v>101403292</v>
      </c>
      <c r="C197" t="e">
        <f>_xlfn.XLOOKUP(B197,Sheet1!$B$7:$B$33,Sheet1!$A$7:$A$33)</f>
        <v>#N/A</v>
      </c>
    </row>
    <row r="198" spans="1:3">
      <c r="A198" t="s">
        <v>193</v>
      </c>
      <c r="B198" s="2">
        <v>795331086</v>
      </c>
      <c r="C198" t="e">
        <f>_xlfn.XLOOKUP(B198,Sheet1!$B$7:$B$33,Sheet1!$A$7:$A$33)</f>
        <v>#N/A</v>
      </c>
    </row>
    <row r="199" spans="1:3">
      <c r="A199" t="s">
        <v>194</v>
      </c>
      <c r="B199" s="2">
        <v>606012805</v>
      </c>
      <c r="C199" t="e">
        <f>_xlfn.XLOOKUP(B199,Sheet1!$B$7:$B$33,Sheet1!$A$7:$A$33)</f>
        <v>#N/A</v>
      </c>
    </row>
    <row r="200" spans="1:3">
      <c r="A200" t="s">
        <v>195</v>
      </c>
      <c r="B200" s="2">
        <v>789072990</v>
      </c>
      <c r="C200" t="e">
        <f>_xlfn.XLOOKUP(B200,Sheet1!$B$7:$B$33,Sheet1!$A$7:$A$33)</f>
        <v>#N/A</v>
      </c>
    </row>
    <row r="201" spans="1:3">
      <c r="A201" t="s">
        <v>196</v>
      </c>
      <c r="B201" s="2">
        <v>320272604</v>
      </c>
      <c r="C201" t="e">
        <f>_xlfn.XLOOKUP(B201,Sheet1!$B$7:$B$33,Sheet1!$A$7:$A$33)</f>
        <v>#N/A</v>
      </c>
    </row>
    <row r="202" spans="1:3">
      <c r="A202" t="s">
        <v>197</v>
      </c>
      <c r="B202" s="2">
        <v>918140156</v>
      </c>
      <c r="C202" t="e">
        <f>_xlfn.XLOOKUP(B202,Sheet1!$B$7:$B$33,Sheet1!$A$7:$A$33)</f>
        <v>#N/A</v>
      </c>
    </row>
    <row r="203" spans="1:3">
      <c r="A203" t="s">
        <v>198</v>
      </c>
      <c r="B203" s="2">
        <v>243398078</v>
      </c>
      <c r="C203" t="e">
        <f>_xlfn.XLOOKUP(B203,Sheet1!$B$7:$B$33,Sheet1!$A$7:$A$33)</f>
        <v>#N/A</v>
      </c>
    </row>
    <row r="204" spans="1:3">
      <c r="A204" t="s">
        <v>199</v>
      </c>
      <c r="B204" s="2">
        <v>180850648</v>
      </c>
      <c r="C204" t="e">
        <f>_xlfn.XLOOKUP(B204,Sheet1!$B$7:$B$33,Sheet1!$A$7:$A$33)</f>
        <v>#N/A</v>
      </c>
    </row>
    <row r="205" spans="1:3">
      <c r="A205" t="s">
        <v>200</v>
      </c>
      <c r="B205" s="2">
        <v>267623228</v>
      </c>
      <c r="C205" t="e">
        <f>_xlfn.XLOOKUP(B205,Sheet1!$B$7:$B$33,Sheet1!$A$7:$A$33)</f>
        <v>#N/A</v>
      </c>
    </row>
    <row r="206" spans="1:3">
      <c r="A206" t="s">
        <v>201</v>
      </c>
      <c r="B206" s="2">
        <v>940756478</v>
      </c>
      <c r="C206" t="e">
        <f>_xlfn.XLOOKUP(B206,Sheet1!$B$7:$B$33,Sheet1!$A$7:$A$33)</f>
        <v>#N/A</v>
      </c>
    </row>
    <row r="207" spans="1:3">
      <c r="A207" t="s">
        <v>202</v>
      </c>
      <c r="B207" s="2">
        <v>392577322</v>
      </c>
      <c r="C207" t="e">
        <f>_xlfn.XLOOKUP(B207,Sheet1!$B$7:$B$33,Sheet1!$A$7:$A$33)</f>
        <v>#N/A</v>
      </c>
    </row>
    <row r="208" spans="1:3">
      <c r="A208" t="s">
        <v>203</v>
      </c>
      <c r="B208" s="2">
        <v>218604373</v>
      </c>
      <c r="C208" t="e">
        <f>_xlfn.XLOOKUP(B208,Sheet1!$B$7:$B$33,Sheet1!$A$7:$A$33)</f>
        <v>#N/A</v>
      </c>
    </row>
    <row r="209" spans="1:3">
      <c r="A209" t="s">
        <v>204</v>
      </c>
      <c r="B209" s="2">
        <v>434867882</v>
      </c>
      <c r="C209" t="e">
        <f>_xlfn.XLOOKUP(B209,Sheet1!$B$7:$B$33,Sheet1!$A$7:$A$33)</f>
        <v>#N/A</v>
      </c>
    </row>
    <row r="210" spans="1:3">
      <c r="A210" t="s">
        <v>205</v>
      </c>
      <c r="B210" s="2">
        <v>536160133</v>
      </c>
      <c r="C210" t="e">
        <f>_xlfn.XLOOKUP(B210,Sheet1!$B$7:$B$33,Sheet1!$A$7:$A$33)</f>
        <v>#N/A</v>
      </c>
    </row>
    <row r="211" spans="1:3">
      <c r="A211" t="s">
        <v>206</v>
      </c>
      <c r="B211" s="2">
        <v>419481311</v>
      </c>
      <c r="C211" t="e">
        <f>_xlfn.XLOOKUP(B211,Sheet1!$B$7:$B$33,Sheet1!$A$7:$A$33)</f>
        <v>#N/A</v>
      </c>
    </row>
    <row r="212" spans="1:3">
      <c r="A212" s="1"/>
    </row>
    <row r="213" spans="1:3">
      <c r="A213" s="1"/>
    </row>
    <row r="214" spans="1:3">
      <c r="A214" s="1"/>
    </row>
    <row r="215" spans="1:3">
      <c r="A215" s="1"/>
    </row>
    <row r="216" spans="1:3">
      <c r="A216" s="1"/>
    </row>
    <row r="217" spans="1:3">
      <c r="A217" s="1"/>
    </row>
    <row r="218" spans="1:3">
      <c r="A218" s="1"/>
    </row>
    <row r="219" spans="1:3">
      <c r="A219" s="1"/>
    </row>
    <row r="220" spans="1:3">
      <c r="A220" s="1"/>
    </row>
    <row r="221" spans="1:3">
      <c r="A221" s="1"/>
    </row>
    <row r="222" spans="1:3">
      <c r="A222" s="1"/>
    </row>
    <row r="223" spans="1:3">
      <c r="A223" s="1"/>
    </row>
    <row r="224" spans="1:3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</sheetData>
  <autoFilter ref="A6:C211" xr:uid="{B1BC7E98-12A7-4A11-B5C8-31FA9A4F01B9}"/>
  <conditionalFormatting sqref="F64:F67">
    <cfRule type="duplicateValues" dxfId="3" priority="1"/>
    <cfRule type="cellIs" dxfId="2" priority="2" operator="equal">
      <formula>"495-55-6765"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0654-3E70-45F2-B1E9-403825D9D2C6}">
  <sheetPr codeName="Sheet5"/>
  <dimension ref="A6:B33"/>
  <sheetViews>
    <sheetView workbookViewId="0">
      <selection activeCell="A17" sqref="A17"/>
    </sheetView>
  </sheetViews>
  <sheetFormatPr defaultRowHeight="15"/>
  <cols>
    <col min="1" max="1" width="24.28515625" customWidth="1"/>
    <col min="2" max="2" width="13.140625" customWidth="1"/>
    <col min="3" max="3" width="22.7109375" customWidth="1"/>
  </cols>
  <sheetData>
    <row r="6" spans="1:2">
      <c r="A6" t="s">
        <v>225</v>
      </c>
      <c r="B6" t="s">
        <v>226</v>
      </c>
    </row>
    <row r="7" spans="1:2">
      <c r="A7" t="s">
        <v>213</v>
      </c>
      <c r="B7" s="2">
        <v>139662397</v>
      </c>
    </row>
    <row r="8" spans="1:2">
      <c r="A8" t="s">
        <v>214</v>
      </c>
      <c r="B8" s="2">
        <v>139662398</v>
      </c>
    </row>
    <row r="9" spans="1:2">
      <c r="A9" t="s">
        <v>210</v>
      </c>
      <c r="B9" s="2">
        <v>702571567</v>
      </c>
    </row>
    <row r="10" spans="1:2">
      <c r="A10" t="s">
        <v>18</v>
      </c>
      <c r="B10" s="2">
        <v>275493805</v>
      </c>
    </row>
    <row r="11" spans="1:2">
      <c r="A11" t="s">
        <v>19</v>
      </c>
      <c r="B11" s="2">
        <v>104983696</v>
      </c>
    </row>
    <row r="12" spans="1:2">
      <c r="A12" t="s">
        <v>20</v>
      </c>
      <c r="B12" s="2">
        <v>837561915</v>
      </c>
    </row>
    <row r="13" spans="1:2">
      <c r="A13" t="s">
        <v>21</v>
      </c>
      <c r="B13" s="2">
        <v>661802306</v>
      </c>
    </row>
    <row r="14" spans="1:2">
      <c r="A14" t="s">
        <v>22</v>
      </c>
      <c r="B14" s="2">
        <v>614983696</v>
      </c>
    </row>
    <row r="15" spans="1:2">
      <c r="A15" t="s">
        <v>23</v>
      </c>
      <c r="B15" s="2">
        <v>717573915</v>
      </c>
    </row>
    <row r="16" spans="1:2">
      <c r="A16" t="s">
        <v>24</v>
      </c>
      <c r="B16" s="2">
        <v>431802306</v>
      </c>
    </row>
    <row r="17" spans="1:2">
      <c r="A17" t="s">
        <v>215</v>
      </c>
      <c r="B17" s="2">
        <v>104983697</v>
      </c>
    </row>
    <row r="18" spans="1:2">
      <c r="A18" t="s">
        <v>216</v>
      </c>
      <c r="B18" s="2">
        <v>827561951</v>
      </c>
    </row>
    <row r="19" spans="1:2">
      <c r="A19" t="s">
        <v>18</v>
      </c>
      <c r="B19" s="2">
        <v>275493850</v>
      </c>
    </row>
    <row r="20" spans="1:2">
      <c r="A20" t="s">
        <v>4</v>
      </c>
      <c r="B20" s="2">
        <v>554289872</v>
      </c>
    </row>
    <row r="21" spans="1:2">
      <c r="A21" t="s">
        <v>5</v>
      </c>
      <c r="B21" s="2">
        <v>128433409</v>
      </c>
    </row>
    <row r="22" spans="1:2">
      <c r="A22" t="s">
        <v>6</v>
      </c>
      <c r="B22" s="2">
        <v>111651356</v>
      </c>
    </row>
    <row r="23" spans="1:2">
      <c r="A23" t="s">
        <v>7</v>
      </c>
      <c r="B23" s="2">
        <v>100423405</v>
      </c>
    </row>
    <row r="24" spans="1:2">
      <c r="A24" t="s">
        <v>9</v>
      </c>
      <c r="B24" s="2">
        <v>890690125</v>
      </c>
    </row>
    <row r="25" spans="1:2">
      <c r="A25" t="s">
        <v>10</v>
      </c>
      <c r="B25" s="2">
        <v>476349029</v>
      </c>
    </row>
    <row r="26" spans="1:2">
      <c r="A26" t="s">
        <v>11</v>
      </c>
      <c r="B26" s="2">
        <v>331741618</v>
      </c>
    </row>
    <row r="27" spans="1:2">
      <c r="A27" t="s">
        <v>12</v>
      </c>
      <c r="B27" s="2">
        <v>547976881</v>
      </c>
    </row>
    <row r="28" spans="1:2">
      <c r="A28" t="s">
        <v>77</v>
      </c>
      <c r="B28" s="2">
        <v>786755771</v>
      </c>
    </row>
    <row r="29" spans="1:2">
      <c r="A29" t="s">
        <v>59</v>
      </c>
      <c r="B29" s="2">
        <v>495998413</v>
      </c>
    </row>
    <row r="30" spans="1:2">
      <c r="A30" t="s">
        <v>60</v>
      </c>
      <c r="B30" s="2">
        <v>349237126</v>
      </c>
    </row>
    <row r="31" spans="1:2">
      <c r="A31" t="s">
        <v>61</v>
      </c>
      <c r="B31" s="2">
        <v>671318295</v>
      </c>
    </row>
    <row r="32" spans="1:2">
      <c r="A32" t="s">
        <v>62</v>
      </c>
      <c r="B32" s="2">
        <v>674146447</v>
      </c>
    </row>
    <row r="33" spans="2:2">
      <c r="B33" s="2"/>
    </row>
  </sheetData>
  <conditionalFormatting sqref="B7:B33">
    <cfRule type="duplicateValues" dxfId="1" priority="5"/>
    <cfRule type="cellIs" dxfId="0" priority="6" operator="equal">
      <formula>"495-55-6765"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2B48C-CEB2-4DC0-AD1D-8172C52F72CB}">
  <sheetPr codeName="Sheet2"/>
  <dimension ref="A1:AC27"/>
  <sheetViews>
    <sheetView topLeftCell="B1" workbookViewId="0">
      <selection activeCell="O6" sqref="O6"/>
    </sheetView>
  </sheetViews>
  <sheetFormatPr defaultRowHeight="15"/>
  <cols>
    <col min="1" max="2" width="26.28515625" customWidth="1"/>
    <col min="3" max="3" width="8" customWidth="1"/>
    <col min="4" max="4" width="16.140625" customWidth="1"/>
    <col min="7" max="8" width="11.7109375" customWidth="1"/>
    <col min="9" max="9" width="22.140625" customWidth="1"/>
    <col min="10" max="10" width="13.42578125" customWidth="1"/>
    <col min="12" max="12" width="18.5703125" customWidth="1"/>
    <col min="13" max="13" width="20.140625" customWidth="1"/>
    <col min="15" max="15" width="15.28515625" bestFit="1" customWidth="1"/>
    <col min="16" max="16" width="17.5703125" customWidth="1"/>
    <col min="17" max="17" width="15.28515625" bestFit="1" customWidth="1"/>
    <col min="18" max="18" width="16.7109375" customWidth="1"/>
  </cols>
  <sheetData>
    <row r="1" spans="1:29" s="5" customFormat="1">
      <c r="A1" s="6" t="s">
        <v>209</v>
      </c>
      <c r="B1" s="6"/>
      <c r="C1" s="6"/>
      <c r="E1" s="6" t="s">
        <v>209</v>
      </c>
      <c r="G1" s="6" t="s">
        <v>209</v>
      </c>
      <c r="H1" s="6"/>
      <c r="I1" s="6"/>
      <c r="K1" s="6" t="s">
        <v>209</v>
      </c>
      <c r="M1" s="6" t="s">
        <v>209</v>
      </c>
      <c r="O1" s="6" t="s">
        <v>209</v>
      </c>
      <c r="Q1" s="6" t="s">
        <v>209</v>
      </c>
      <c r="S1" s="6" t="s">
        <v>209</v>
      </c>
      <c r="U1" s="6" t="s">
        <v>209</v>
      </c>
      <c r="W1" s="6" t="s">
        <v>209</v>
      </c>
      <c r="Y1" s="6" t="s">
        <v>209</v>
      </c>
      <c r="AA1" s="6" t="s">
        <v>209</v>
      </c>
      <c r="AC1" s="6" t="s">
        <v>209</v>
      </c>
    </row>
    <row r="6" spans="1:29" ht="18" customHeight="1">
      <c r="G6" s="3" t="s">
        <v>207</v>
      </c>
      <c r="H6" s="3" t="s">
        <v>211</v>
      </c>
      <c r="I6" s="3" t="s">
        <v>212</v>
      </c>
      <c r="J6" s="3" t="s">
        <v>208</v>
      </c>
    </row>
    <row r="7" spans="1:29" ht="18" customHeight="1">
      <c r="A7" s="1" t="s">
        <v>213</v>
      </c>
      <c r="B7" s="1" t="str" cm="1">
        <f t="array" ref="B7">splitcaps(A7)</f>
        <v>Carly Rey Mc Intosh</v>
      </c>
      <c r="C7" s="1" cm="1">
        <f t="array" aca="1" ref="C7" ca="1">SUMPRODUCT(LEN(B7)-LEN(SUBSTITUTE(B7,CHAR(ROW(INDIRECT("65:90"))),"")))</f>
        <v>4</v>
      </c>
      <c r="D7" s="2">
        <v>139662397</v>
      </c>
      <c r="G7" s="1" t="str">
        <f>LEFT(B7,FIND(" ",B7)-1)</f>
        <v>Carly</v>
      </c>
      <c r="H7" s="1" t="str">
        <f ca="1">IF(C7&gt;2,TRIM(MID(SUBSTITUTE(B7," ",REPT(" ", 100)),100,100)),"")</f>
        <v>Rey</v>
      </c>
      <c r="I7" s="1" t="str">
        <f ca="1">IF(C7&gt;3,TRIM(MID(SUBSTITUTE(B7," ",REPT(" ", 100)),200,100)),"")</f>
        <v>Mc</v>
      </c>
      <c r="J7" s="1" t="str">
        <f>_xlfn.TEXTAFTER(B7, " ", -1)</f>
        <v>Intosh</v>
      </c>
      <c r="L7" s="4"/>
      <c r="M7" s="8"/>
      <c r="N7" s="7"/>
      <c r="O7" s="7" t="str">
        <f>_xlfn.CONCAT(G7,J7)</f>
        <v>CarlyIntosh</v>
      </c>
      <c r="P7" s="7" t="str">
        <f>_xlfn.CONCAT(J7,G7)</f>
        <v>IntoshCarly</v>
      </c>
      <c r="Q7" t="str">
        <f ca="1">_xlfn.CONCAT(G7,I7,J7)</f>
        <v>CarlyMcIntosh</v>
      </c>
      <c r="R7" t="str">
        <f ca="1">_xlfn.CONCAT(J7,G7,H7)</f>
        <v>IntoshCarlyRey</v>
      </c>
    </row>
    <row r="8" spans="1:29" ht="18" customHeight="1">
      <c r="A8" s="1" t="s">
        <v>214</v>
      </c>
      <c r="B8" s="1" t="str" cm="1">
        <f t="array" ref="B8">splitcaps(A8)</f>
        <v>Mc Intosh Carly</v>
      </c>
      <c r="C8" s="1" cm="1">
        <f t="array" aca="1" ref="C8" ca="1">SUMPRODUCT(LEN(B8)-LEN(SUBSTITUTE(B8,CHAR(ROW(INDIRECT("65:90"))),"")))</f>
        <v>3</v>
      </c>
      <c r="D8" s="2">
        <v>139662398</v>
      </c>
      <c r="G8" s="1" t="str">
        <f t="shared" ref="G8:G9" si="0">LEFT(B8,FIND(" ",B8)-1)</f>
        <v>Mc</v>
      </c>
      <c r="H8" s="1" t="str">
        <f t="shared" ref="H8" ca="1" si="1">IF(C8&gt;2,TRIM(MID(SUBSTITUTE(B8," ",REPT(" ", 100)),100,100)),"")</f>
        <v>Intosh</v>
      </c>
      <c r="I8" s="1" t="str">
        <f t="shared" ref="I8" ca="1" si="2">IF(C8&gt;3,TRIM(MID(SUBSTITUTE(B8," ",REPT(" ", 100)),200,100)),"")</f>
        <v/>
      </c>
      <c r="J8" s="1" t="str">
        <f t="shared" ref="J8:J9" si="3">_xlfn.TEXTAFTER(B8, " ", -1)</f>
        <v>Carly</v>
      </c>
      <c r="L8" s="4"/>
      <c r="M8" s="8"/>
      <c r="N8" s="7"/>
      <c r="O8" s="7" t="str">
        <f t="shared" ref="O8:O19" si="4">_xlfn.CONCAT(G8,J8)</f>
        <v>McCarly</v>
      </c>
      <c r="P8" s="7" t="str">
        <f t="shared" ref="P8:P19" si="5">_xlfn.CONCAT(J8,G8)</f>
        <v>CarlyMc</v>
      </c>
      <c r="Q8" t="str">
        <f t="shared" ref="Q8:Q19" ca="1" si="6">_xlfn.CONCAT(G8,I8,J8)</f>
        <v>McCarly</v>
      </c>
      <c r="R8" t="str">
        <f t="shared" ref="R8:R19" ca="1" si="7">_xlfn.CONCAT(J8,G8,H8)</f>
        <v>CarlyMcIntosh</v>
      </c>
    </row>
    <row r="9" spans="1:29" ht="18" customHeight="1">
      <c r="A9" s="1" t="s">
        <v>210</v>
      </c>
      <c r="B9" s="1" t="str" cm="1">
        <f t="array" ref="B9">splitcaps(A9)</f>
        <v>Clark Kristian</v>
      </c>
      <c r="C9" s="1" cm="1">
        <f t="array" aca="1" ref="C9" ca="1">SUMPRODUCT(LEN(B9)-LEN(SUBSTITUTE(B9,CHAR(ROW(INDIRECT("65:90"))),"")))</f>
        <v>2</v>
      </c>
      <c r="D9" s="2">
        <v>702571567</v>
      </c>
      <c r="G9" s="1" t="str">
        <f t="shared" si="0"/>
        <v>Clark</v>
      </c>
      <c r="H9" s="1" t="str">
        <f t="shared" ref="H9:H18" ca="1" si="8">IF(C9&gt;2,TRIM(MID(SUBSTITUTE(B9," ",REPT(" ", 100)),100,100)),"")</f>
        <v/>
      </c>
      <c r="I9" s="1" t="str">
        <f t="shared" ref="I9:I18" ca="1" si="9">IF(C9&gt;3,TRIM(MID(SUBSTITUTE(B9," ",REPT(" ", 100)),200,100)),"")</f>
        <v/>
      </c>
      <c r="J9" s="1" t="str">
        <f t="shared" si="3"/>
        <v>Kristian</v>
      </c>
      <c r="L9" s="4"/>
      <c r="M9" s="8"/>
      <c r="N9" s="7"/>
      <c r="O9" s="7" t="str">
        <f t="shared" si="4"/>
        <v>ClarkKristian</v>
      </c>
      <c r="P9" s="7" t="str">
        <f t="shared" si="5"/>
        <v>KristianClark</v>
      </c>
      <c r="Q9" t="str">
        <f t="shared" ca="1" si="6"/>
        <v>ClarkKristian</v>
      </c>
      <c r="R9" t="str">
        <f t="shared" ca="1" si="7"/>
        <v>KristianClark</v>
      </c>
    </row>
    <row r="10" spans="1:29">
      <c r="A10" s="1" t="s">
        <v>18</v>
      </c>
      <c r="B10" s="1" t="str" cm="1">
        <f t="array" ref="B10">splitcaps(A10)</f>
        <v>Hailey Navarro</v>
      </c>
      <c r="C10" s="1" cm="1">
        <f t="array" aca="1" ref="C10" ca="1">SUMPRODUCT(LEN(B10)-LEN(SUBSTITUTE(B10,CHAR(ROW(INDIRECT("65:90"))),"")))</f>
        <v>2</v>
      </c>
      <c r="D10" s="2">
        <v>275493805</v>
      </c>
      <c r="G10" s="1" t="str">
        <f t="shared" ref="G10:G18" si="10">LEFT(B10,FIND(" ",B10)-1)</f>
        <v>Hailey</v>
      </c>
      <c r="H10" s="1" t="str">
        <f t="shared" ca="1" si="8"/>
        <v/>
      </c>
      <c r="I10" s="1" t="str">
        <f t="shared" ca="1" si="9"/>
        <v/>
      </c>
      <c r="J10" s="1" t="str">
        <f t="shared" ref="J10:J18" si="11">_xlfn.TEXTAFTER(B10, " ", -1)</f>
        <v>Navarro</v>
      </c>
      <c r="L10" s="4"/>
      <c r="M10" s="8"/>
      <c r="N10" s="7"/>
      <c r="O10" s="7" t="str">
        <f t="shared" si="4"/>
        <v>HaileyNavarro</v>
      </c>
      <c r="P10" s="7" t="str">
        <f t="shared" si="5"/>
        <v>NavarroHailey</v>
      </c>
      <c r="Q10" t="str">
        <f t="shared" ca="1" si="6"/>
        <v>HaileyNavarro</v>
      </c>
      <c r="R10" t="str">
        <f t="shared" ca="1" si="7"/>
        <v>NavarroHailey</v>
      </c>
    </row>
    <row r="11" spans="1:29">
      <c r="A11" s="1" t="s">
        <v>19</v>
      </c>
      <c r="B11" s="1" t="str" cm="1">
        <f t="array" ref="B11">splitcaps(A11)</f>
        <v>Reid Tang</v>
      </c>
      <c r="C11" s="1" cm="1">
        <f t="array" aca="1" ref="C11" ca="1">SUMPRODUCT(LEN(B11)-LEN(SUBSTITUTE(B11,CHAR(ROW(INDIRECT("65:90"))),"")))</f>
        <v>2</v>
      </c>
      <c r="D11" s="2">
        <v>104983696</v>
      </c>
      <c r="G11" s="1" t="str">
        <f t="shared" si="10"/>
        <v>Reid</v>
      </c>
      <c r="H11" s="1" t="str">
        <f t="shared" ca="1" si="8"/>
        <v/>
      </c>
      <c r="I11" s="1" t="str">
        <f t="shared" ca="1" si="9"/>
        <v/>
      </c>
      <c r="J11" s="1" t="str">
        <f t="shared" si="11"/>
        <v>Tang</v>
      </c>
      <c r="L11" s="4"/>
      <c r="M11" s="8"/>
      <c r="N11" s="7"/>
      <c r="O11" s="7" t="str">
        <f t="shared" si="4"/>
        <v>ReidTang</v>
      </c>
      <c r="P11" s="7" t="str">
        <f t="shared" si="5"/>
        <v>TangReid</v>
      </c>
      <c r="Q11" t="str">
        <f t="shared" ca="1" si="6"/>
        <v>ReidTang</v>
      </c>
      <c r="R11" t="str">
        <f t="shared" ca="1" si="7"/>
        <v>TangReid</v>
      </c>
    </row>
    <row r="12" spans="1:29">
      <c r="A12" s="1" t="s">
        <v>20</v>
      </c>
      <c r="B12" s="1" t="str" cm="1">
        <f t="array" ref="B12">splitcaps(A12)</f>
        <v>Belle Cline</v>
      </c>
      <c r="C12" s="1" cm="1">
        <f t="array" aca="1" ref="C12" ca="1">SUMPRODUCT(LEN(B12)-LEN(SUBSTITUTE(B12,CHAR(ROW(INDIRECT("65:90"))),"")))</f>
        <v>2</v>
      </c>
      <c r="D12" s="2">
        <v>837561915</v>
      </c>
      <c r="G12" s="1" t="str">
        <f t="shared" si="10"/>
        <v>Belle</v>
      </c>
      <c r="H12" s="1" t="str">
        <f t="shared" ca="1" si="8"/>
        <v/>
      </c>
      <c r="I12" s="1" t="str">
        <f t="shared" ca="1" si="9"/>
        <v/>
      </c>
      <c r="J12" s="1" t="str">
        <f t="shared" si="11"/>
        <v>Cline</v>
      </c>
      <c r="L12" s="4"/>
      <c r="M12" s="8"/>
      <c r="N12" s="7"/>
      <c r="O12" s="7" t="str">
        <f t="shared" si="4"/>
        <v>BelleCline</v>
      </c>
      <c r="P12" s="7" t="str">
        <f t="shared" si="5"/>
        <v>ClineBelle</v>
      </c>
      <c r="Q12" t="str">
        <f t="shared" ca="1" si="6"/>
        <v>BelleCline</v>
      </c>
      <c r="R12" t="str">
        <f t="shared" ca="1" si="7"/>
        <v>ClineBelle</v>
      </c>
    </row>
    <row r="13" spans="1:29">
      <c r="A13" s="1" t="s">
        <v>21</v>
      </c>
      <c r="B13" s="1" t="str" cm="1">
        <f t="array" ref="B13">splitcaps(A13)</f>
        <v>Cullen Contreras</v>
      </c>
      <c r="C13" s="1" cm="1">
        <f t="array" aca="1" ref="C13" ca="1">SUMPRODUCT(LEN(B13)-LEN(SUBSTITUTE(B13,CHAR(ROW(INDIRECT("65:90"))),"")))</f>
        <v>2</v>
      </c>
      <c r="D13" s="2">
        <v>661802306</v>
      </c>
      <c r="G13" s="1" t="str">
        <f t="shared" si="10"/>
        <v>Cullen</v>
      </c>
      <c r="H13" s="1" t="str">
        <f t="shared" ca="1" si="8"/>
        <v/>
      </c>
      <c r="I13" s="1" t="str">
        <f t="shared" ca="1" si="9"/>
        <v/>
      </c>
      <c r="J13" s="1" t="str">
        <f t="shared" si="11"/>
        <v>Contreras</v>
      </c>
      <c r="L13" s="4"/>
      <c r="M13" s="8"/>
      <c r="N13" s="7"/>
      <c r="O13" s="7" t="str">
        <f t="shared" si="4"/>
        <v>CullenContreras</v>
      </c>
      <c r="P13" s="7" t="str">
        <f t="shared" si="5"/>
        <v>ContrerasCullen</v>
      </c>
      <c r="Q13" t="str">
        <f t="shared" ca="1" si="6"/>
        <v>CullenContreras</v>
      </c>
      <c r="R13" t="str">
        <f t="shared" ca="1" si="7"/>
        <v>ContrerasCullen</v>
      </c>
    </row>
    <row r="14" spans="1:29">
      <c r="A14" s="1" t="s">
        <v>22</v>
      </c>
      <c r="B14" s="1" t="str" cm="1">
        <f t="array" ref="B14">splitcaps(A14)</f>
        <v>Daniela Morrow</v>
      </c>
      <c r="C14" s="1" cm="1">
        <f t="array" aca="1" ref="C14" ca="1">SUMPRODUCT(LEN(B14)-LEN(SUBSTITUTE(B14,CHAR(ROW(INDIRECT("65:90"))),"")))</f>
        <v>2</v>
      </c>
      <c r="D14" s="2">
        <v>104983696</v>
      </c>
      <c r="G14" s="1" t="str">
        <f t="shared" si="10"/>
        <v>Daniela</v>
      </c>
      <c r="H14" s="1" t="str">
        <f t="shared" ca="1" si="8"/>
        <v/>
      </c>
      <c r="I14" s="1" t="str">
        <f t="shared" ca="1" si="9"/>
        <v/>
      </c>
      <c r="J14" s="1" t="str">
        <f t="shared" si="11"/>
        <v>Morrow</v>
      </c>
      <c r="L14" s="4"/>
      <c r="M14" s="8"/>
      <c r="N14" s="7"/>
      <c r="O14" s="7" t="str">
        <f t="shared" si="4"/>
        <v>DanielaMorrow</v>
      </c>
      <c r="P14" s="7" t="str">
        <f t="shared" si="5"/>
        <v>MorrowDaniela</v>
      </c>
      <c r="Q14" t="str">
        <f t="shared" ca="1" si="6"/>
        <v>DanielaMorrow</v>
      </c>
      <c r="R14" t="str">
        <f t="shared" ca="1" si="7"/>
        <v>MorrowDaniela</v>
      </c>
    </row>
    <row r="15" spans="1:29">
      <c r="A15" s="1" t="s">
        <v>23</v>
      </c>
      <c r="B15" s="1" t="str" cm="1">
        <f t="array" ref="B15">splitcaps(A15)</f>
        <v>Kyree Kirby</v>
      </c>
      <c r="C15" s="1" cm="1">
        <f t="array" aca="1" ref="C15" ca="1">SUMPRODUCT(LEN(B15)-LEN(SUBSTITUTE(B15,CHAR(ROW(INDIRECT("65:90"))),"")))</f>
        <v>2</v>
      </c>
      <c r="D15" s="2">
        <v>827561915</v>
      </c>
      <c r="G15" s="1" t="str">
        <f t="shared" si="10"/>
        <v>Kyree</v>
      </c>
      <c r="H15" s="1" t="str">
        <f t="shared" ca="1" si="8"/>
        <v/>
      </c>
      <c r="I15" s="1" t="str">
        <f t="shared" ca="1" si="9"/>
        <v/>
      </c>
      <c r="J15" s="1" t="str">
        <f t="shared" si="11"/>
        <v>Kirby</v>
      </c>
      <c r="L15" s="4"/>
      <c r="M15" s="8"/>
      <c r="N15" s="7"/>
      <c r="O15" s="7" t="str">
        <f t="shared" si="4"/>
        <v>KyreeKirby</v>
      </c>
      <c r="P15" s="7" t="str">
        <f t="shared" si="5"/>
        <v>KirbyKyree</v>
      </c>
      <c r="Q15" t="str">
        <f t="shared" ca="1" si="6"/>
        <v>KyreeKirby</v>
      </c>
      <c r="R15" t="str">
        <f t="shared" ca="1" si="7"/>
        <v>KirbyKyree</v>
      </c>
    </row>
    <row r="16" spans="1:29">
      <c r="A16" s="1" t="s">
        <v>24</v>
      </c>
      <c r="B16" s="1" t="str" cm="1">
        <f t="array" ref="B16">splitcaps(A16)</f>
        <v>Skyla Miller</v>
      </c>
      <c r="C16" s="1" cm="1">
        <f t="array" aca="1" ref="C16" ca="1">SUMPRODUCT(LEN(B16)-LEN(SUBSTITUTE(B16,CHAR(ROW(INDIRECT("65:90"))),"")))</f>
        <v>2</v>
      </c>
      <c r="D16" s="2">
        <v>661802306</v>
      </c>
      <c r="G16" s="1" t="str">
        <f t="shared" si="10"/>
        <v>Skyla</v>
      </c>
      <c r="H16" s="1" t="str">
        <f t="shared" ca="1" si="8"/>
        <v/>
      </c>
      <c r="I16" s="1" t="str">
        <f t="shared" ca="1" si="9"/>
        <v/>
      </c>
      <c r="J16" s="1" t="str">
        <f t="shared" si="11"/>
        <v>Miller</v>
      </c>
      <c r="L16" s="4"/>
      <c r="M16" s="8"/>
      <c r="N16" s="7"/>
      <c r="O16" s="7" t="str">
        <f t="shared" si="4"/>
        <v>SkylaMiller</v>
      </c>
      <c r="P16" s="7" t="str">
        <f t="shared" si="5"/>
        <v>MillerSkyla</v>
      </c>
      <c r="Q16" t="str">
        <f t="shared" ca="1" si="6"/>
        <v>SkylaMiller</v>
      </c>
      <c r="R16" t="str">
        <f t="shared" ca="1" si="7"/>
        <v>MillerSkyla</v>
      </c>
    </row>
    <row r="17" spans="1:18">
      <c r="A17" s="1" t="s">
        <v>215</v>
      </c>
      <c r="B17" s="1" t="str" cm="1">
        <f t="array" ref="B17">splitcaps(A17)</f>
        <v>Reid Nar Tang</v>
      </c>
      <c r="C17" s="1" cm="1">
        <f t="array" aca="1" ref="C17" ca="1">SUMPRODUCT(LEN(B17)-LEN(SUBSTITUTE(B17,CHAR(ROW(INDIRECT("65:90"))),"")))</f>
        <v>3</v>
      </c>
      <c r="D17" s="2">
        <v>104983697</v>
      </c>
      <c r="G17" s="1" t="str">
        <f t="shared" si="10"/>
        <v>Reid</v>
      </c>
      <c r="H17" s="1" t="str">
        <f t="shared" ca="1" si="8"/>
        <v>Nar</v>
      </c>
      <c r="I17" s="1" t="str">
        <f t="shared" ca="1" si="9"/>
        <v/>
      </c>
      <c r="J17" s="1" t="str">
        <f t="shared" si="11"/>
        <v>Tang</v>
      </c>
      <c r="L17" s="4"/>
      <c r="M17" s="8"/>
      <c r="N17" s="7"/>
      <c r="O17" s="7" t="str">
        <f t="shared" si="4"/>
        <v>ReidTang</v>
      </c>
      <c r="P17" s="7" t="str">
        <f t="shared" si="5"/>
        <v>TangReid</v>
      </c>
      <c r="Q17" t="str">
        <f t="shared" ca="1" si="6"/>
        <v>ReidTang</v>
      </c>
      <c r="R17" t="str">
        <f t="shared" ca="1" si="7"/>
        <v>TangReidNar</v>
      </c>
    </row>
    <row r="18" spans="1:18">
      <c r="A18" s="1" t="s">
        <v>216</v>
      </c>
      <c r="B18" s="1" t="str" cm="1">
        <f t="array" ref="B18">splitcaps(A18)</f>
        <v>Cline Belle</v>
      </c>
      <c r="C18" s="1" cm="1">
        <f t="array" aca="1" ref="C18" ca="1">SUMPRODUCT(LEN(B18)-LEN(SUBSTITUTE(B18,CHAR(ROW(INDIRECT("65:90"))),"")))</f>
        <v>2</v>
      </c>
      <c r="D18" s="2">
        <v>827561951</v>
      </c>
      <c r="G18" s="1" t="str">
        <f t="shared" si="10"/>
        <v>Cline</v>
      </c>
      <c r="H18" s="1" t="str">
        <f t="shared" ca="1" si="8"/>
        <v/>
      </c>
      <c r="I18" s="1" t="str">
        <f t="shared" ca="1" si="9"/>
        <v/>
      </c>
      <c r="J18" s="1" t="str">
        <f t="shared" si="11"/>
        <v>Belle</v>
      </c>
      <c r="L18" s="4"/>
      <c r="M18" s="8"/>
      <c r="N18" s="7"/>
      <c r="O18" s="7" t="str">
        <f t="shared" si="4"/>
        <v>ClineBelle</v>
      </c>
      <c r="P18" s="7" t="str">
        <f t="shared" si="5"/>
        <v>BelleCline</v>
      </c>
      <c r="Q18" t="str">
        <f t="shared" ca="1" si="6"/>
        <v>ClineBelle</v>
      </c>
      <c r="R18" t="str">
        <f t="shared" ca="1" si="7"/>
        <v>BelleCline</v>
      </c>
    </row>
    <row r="19" spans="1:18">
      <c r="A19" s="1" t="s">
        <v>18</v>
      </c>
      <c r="B19" s="1" t="str" cm="1">
        <f t="array" ref="B19">splitcaps(A19)</f>
        <v>Hailey Navarro</v>
      </c>
      <c r="C19" s="1" cm="1">
        <f t="array" aca="1" ref="C19" ca="1">SUMPRODUCT(LEN(B19)-LEN(SUBSTITUTE(B19,CHAR(ROW(INDIRECT("65:90"))),"")))</f>
        <v>2</v>
      </c>
      <c r="D19" s="2">
        <v>275493850</v>
      </c>
      <c r="G19" s="1" t="str">
        <f t="shared" ref="G19" si="12">LEFT(B19,FIND(" ",B19)-1)</f>
        <v>Hailey</v>
      </c>
      <c r="H19" s="1" t="str">
        <f t="shared" ref="H19" ca="1" si="13">IF(C19&gt;2,TRIM(MID(SUBSTITUTE(B19," ",REPT(" ", 100)),100,100)),"")</f>
        <v/>
      </c>
      <c r="I19" s="1" t="str">
        <f t="shared" ref="I19" ca="1" si="14">IF(C19&gt;3,TRIM(MID(SUBSTITUTE(B19," ",REPT(" ", 100)),200,100)),"")</f>
        <v/>
      </c>
      <c r="J19" s="1" t="str">
        <f t="shared" ref="J19" si="15">_xlfn.TEXTAFTER(B19, " ", -1)</f>
        <v>Navarro</v>
      </c>
      <c r="L19" s="4"/>
      <c r="M19" s="8"/>
      <c r="N19" s="7"/>
      <c r="O19" s="7" t="str">
        <f t="shared" si="4"/>
        <v>HaileyNavarro</v>
      </c>
      <c r="P19" s="7" t="str">
        <f t="shared" si="5"/>
        <v>NavarroHailey</v>
      </c>
      <c r="Q19" t="str">
        <f t="shared" ca="1" si="6"/>
        <v>HaileyNavarro</v>
      </c>
      <c r="R19" t="str">
        <f t="shared" ca="1" si="7"/>
        <v>NavarroHailey</v>
      </c>
    </row>
    <row r="20" spans="1:18">
      <c r="A20" s="1"/>
      <c r="B20" s="1" t="str" cm="1">
        <f t="array" ref="B20">splitcaps(A20)</f>
        <v/>
      </c>
      <c r="C20" s="1"/>
      <c r="D20" s="2"/>
      <c r="G20" s="1"/>
      <c r="H20" s="1"/>
      <c r="I20" s="1"/>
      <c r="J20" s="1"/>
    </row>
    <row r="21" spans="1:18">
      <c r="A21" s="1"/>
      <c r="B21" s="1" t="str" cm="1">
        <f t="array" ref="B21">splitcaps(A21)</f>
        <v/>
      </c>
      <c r="C21" s="1"/>
      <c r="D21" s="2"/>
      <c r="G21" s="1"/>
      <c r="H21" s="1"/>
      <c r="I21" s="1"/>
      <c r="J21" s="1"/>
    </row>
    <row r="22" spans="1:18">
      <c r="A22" s="1"/>
      <c r="B22" s="1" t="str" cm="1">
        <f t="array" ref="B22">splitcaps(A22)</f>
        <v/>
      </c>
      <c r="C22" s="1"/>
      <c r="D22" s="2"/>
      <c r="G22" s="1"/>
      <c r="H22" s="1"/>
      <c r="I22" s="1"/>
      <c r="J22" s="1"/>
    </row>
    <row r="23" spans="1:18">
      <c r="A23" s="1"/>
      <c r="B23" s="1" t="str" cm="1">
        <f t="array" ref="B23">splitcaps(A23)</f>
        <v/>
      </c>
      <c r="C23" s="1"/>
      <c r="D23" s="2"/>
      <c r="G23" s="1"/>
      <c r="H23" s="1"/>
      <c r="I23" s="1"/>
      <c r="J23" s="1"/>
    </row>
    <row r="24" spans="1:18">
      <c r="A24" s="1"/>
      <c r="B24" s="1" t="str" cm="1">
        <f t="array" ref="B24">splitcaps(A24)</f>
        <v/>
      </c>
      <c r="C24" s="1"/>
      <c r="D24" s="2"/>
      <c r="G24" s="1"/>
      <c r="H24" s="1"/>
      <c r="I24" s="1"/>
      <c r="J24" s="1"/>
    </row>
    <row r="25" spans="1:18">
      <c r="A25" s="1"/>
      <c r="B25" s="1" t="str" cm="1">
        <f t="array" ref="B25">splitcaps(A25)</f>
        <v/>
      </c>
      <c r="C25" s="1"/>
      <c r="D25" s="2"/>
      <c r="G25" s="1"/>
      <c r="H25" s="1"/>
      <c r="I25" s="1"/>
      <c r="J25" s="1"/>
    </row>
    <row r="26" spans="1:18">
      <c r="A26" s="1"/>
      <c r="B26" s="1" t="str" cm="1">
        <f t="array" ref="B26">splitcaps(A26)</f>
        <v/>
      </c>
      <c r="C26" s="1"/>
      <c r="D26" s="2"/>
      <c r="G26" s="1"/>
      <c r="H26" s="1"/>
      <c r="I26" s="1"/>
      <c r="J26" s="1"/>
    </row>
    <row r="27" spans="1:18">
      <c r="A27" s="1"/>
      <c r="B27" s="1" t="str" cm="1">
        <f t="array" ref="B27">splitcaps(A27)</f>
        <v/>
      </c>
      <c r="C27" s="1"/>
      <c r="D27" s="2"/>
      <c r="G27" s="1"/>
      <c r="H27" s="1"/>
      <c r="I27" s="1"/>
      <c r="J2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D89AC-5CD4-400D-82CF-C6362024C64C}">
  <sheetPr codeName="Sheet3"/>
  <dimension ref="A1:AD187"/>
  <sheetViews>
    <sheetView tabSelected="1" topLeftCell="C1" workbookViewId="0">
      <selection activeCell="D6" sqref="D6"/>
    </sheetView>
  </sheetViews>
  <sheetFormatPr defaultRowHeight="15"/>
  <cols>
    <col min="1" max="2" width="0" hidden="1" customWidth="1"/>
    <col min="3" max="3" width="19.85546875" customWidth="1"/>
    <col min="4" max="4" width="11.42578125" bestFit="1" customWidth="1"/>
    <col min="7" max="10" width="9.140625" hidden="1" customWidth="1"/>
    <col min="12" max="12" width="29" customWidth="1"/>
    <col min="13" max="13" width="26.5703125" customWidth="1"/>
  </cols>
  <sheetData>
    <row r="1" spans="1:30"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</row>
    <row r="2" spans="1:30" ht="24">
      <c r="C2" s="9"/>
      <c r="D2" s="9"/>
      <c r="E2" s="9"/>
      <c r="F2" s="9"/>
      <c r="G2" s="9"/>
      <c r="H2" s="9"/>
      <c r="I2" s="9"/>
      <c r="J2" s="9"/>
      <c r="K2" s="9"/>
      <c r="L2" s="10" t="s">
        <v>218</v>
      </c>
      <c r="M2" s="10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</row>
    <row r="5" spans="1:30" ht="15.75" thickBot="1">
      <c r="C5" s="11"/>
    </row>
    <row r="6" spans="1:30" ht="15.75" thickBot="1">
      <c r="C6" s="11" t="s">
        <v>217</v>
      </c>
      <c r="G6" t="s">
        <v>207</v>
      </c>
      <c r="H6" t="s">
        <v>211</v>
      </c>
      <c r="I6" t="s">
        <v>212</v>
      </c>
      <c r="J6" t="s">
        <v>208</v>
      </c>
    </row>
    <row r="7" spans="1:30">
      <c r="A7" cm="1">
        <f t="array" aca="1" ref="A7" ca="1">SUMPRODUCT(LEN(B7)-LEN(SUBSTITUTE(B7,CHAR(ROW(INDIRECT("65:90"))),"")))</f>
        <v>4</v>
      </c>
      <c r="B7" t="str" cm="1">
        <f t="array" ref="B7">splitcaps(C7)</f>
        <v>Carly Rey Mc Intosh</v>
      </c>
      <c r="C7" s="1" t="s">
        <v>213</v>
      </c>
      <c r="D7" s="16">
        <v>139662397</v>
      </c>
      <c r="G7" t="str">
        <f>LEFT(B7,FIND(" ",B7)-1)</f>
        <v>Carly</v>
      </c>
      <c r="H7" t="str">
        <f ca="1">IF(A7&gt;2,TRIM(MID(SUBSTITUTE(B7," ",REPT(" ", 100)),100,100)),"")</f>
        <v>Rey</v>
      </c>
      <c r="I7" t="str">
        <f ca="1">IF(A7&gt;3,TRIM(MID(SUBSTITUTE(B7," ",REPT(" ", 100)),200,100)),"")</f>
        <v>Mc</v>
      </c>
      <c r="J7" t="str">
        <f>_xlfn.TEXTAFTER(B7, " ", -1)</f>
        <v>Intosh</v>
      </c>
      <c r="L7" s="12"/>
      <c r="M7" s="17"/>
    </row>
    <row r="8" spans="1:30">
      <c r="A8" cm="1">
        <f t="array" aca="1" ref="A8" ca="1">SUMPRODUCT(LEN(B8)-LEN(SUBSTITUTE(B8,CHAR(ROW(INDIRECT("65:90"))),"")))</f>
        <v>3</v>
      </c>
      <c r="B8" t="str" cm="1">
        <f t="array" ref="B8">splitcaps(C8)</f>
        <v>Mc Intosh Carly</v>
      </c>
      <c r="C8" s="1" t="s">
        <v>214</v>
      </c>
      <c r="D8" s="16">
        <v>139662398</v>
      </c>
      <c r="G8" t="str">
        <f t="shared" ref="G8:G45" si="0">LEFT(B8,FIND(" ",B8)-1)</f>
        <v>Mc</v>
      </c>
      <c r="H8" t="str">
        <f ca="1">IF(A8&gt;2,TRIM(MID(SUBSTITUTE(B8," ",REPT(" ", 100)),100,100)),"")</f>
        <v>Intosh</v>
      </c>
      <c r="I8" t="str">
        <f ca="1">IF(A8&gt;3,TRIM(MID(SUBSTITUTE(B8," ",REPT(" ", 100)),200,100)),"")</f>
        <v/>
      </c>
      <c r="J8" t="str">
        <f>_xlfn.TEXTAFTER(B8, " ", -1)</f>
        <v>Carly</v>
      </c>
      <c r="L8" s="12"/>
      <c r="M8" s="17"/>
    </row>
    <row r="9" spans="1:30">
      <c r="A9" cm="1">
        <f t="array" aca="1" ref="A9" ca="1">SUMPRODUCT(LEN(B9)-LEN(SUBSTITUTE(B9,CHAR(ROW(INDIRECT("65:90"))),"")))</f>
        <v>2</v>
      </c>
      <c r="B9" t="str" cm="1">
        <f t="array" ref="B9">splitcaps(C9)</f>
        <v>Clark Kristian</v>
      </c>
      <c r="C9" s="1" t="s">
        <v>210</v>
      </c>
      <c r="D9" s="16">
        <v>702571567</v>
      </c>
      <c r="G9" t="str">
        <f t="shared" si="0"/>
        <v>Clark</v>
      </c>
      <c r="H9" t="str">
        <f ca="1">IF(A9&gt;2,TRIM(MID(SUBSTITUTE(B9," ",REPT(" ", 100)),100,100)),"")</f>
        <v/>
      </c>
      <c r="I9" t="str">
        <f ca="1">IF(A9&gt;3,TRIM(MID(SUBSTITUTE(B9," ",REPT(" ", 100)),200,100)),"")</f>
        <v/>
      </c>
      <c r="J9" t="str">
        <f>_xlfn.TEXTAFTER(B9, " ", -1)</f>
        <v>Kristian</v>
      </c>
      <c r="L9" s="12"/>
      <c r="M9" s="17"/>
    </row>
    <row r="10" spans="1:30">
      <c r="A10" cm="1">
        <f t="array" aca="1" ref="A10" ca="1">SUMPRODUCT(LEN(B10)-LEN(SUBSTITUTE(B10,CHAR(ROW(INDIRECT("65:90"))),"")))</f>
        <v>2</v>
      </c>
      <c r="B10" t="str" cm="1">
        <f t="array" ref="B10">splitcaps(C10)</f>
        <v>Hailey Navarro</v>
      </c>
      <c r="C10" s="1" t="s">
        <v>18</v>
      </c>
      <c r="D10" s="16">
        <v>275493805</v>
      </c>
      <c r="G10" t="str">
        <f t="shared" si="0"/>
        <v>Hailey</v>
      </c>
      <c r="H10" t="str">
        <f ca="1">IF(A10&gt;2,TRIM(MID(SUBSTITUTE(B10," ",REPT(" ", 100)),100,100)),"")</f>
        <v/>
      </c>
      <c r="I10" t="str">
        <f ca="1">IF(A10&gt;3,TRIM(MID(SUBSTITUTE(B10," ",REPT(" ", 100)),200,100)),"")</f>
        <v/>
      </c>
      <c r="J10" t="str">
        <f>_xlfn.TEXTAFTER(B10, " ", -1)</f>
        <v>Navarro</v>
      </c>
      <c r="L10" s="12"/>
      <c r="M10" s="17"/>
    </row>
    <row r="11" spans="1:30">
      <c r="A11" cm="1">
        <f t="array" aca="1" ref="A11" ca="1">SUMPRODUCT(LEN(B11)-LEN(SUBSTITUTE(B11,CHAR(ROW(INDIRECT("65:90"))),"")))</f>
        <v>2</v>
      </c>
      <c r="B11" t="str" cm="1">
        <f t="array" ref="B11">splitcaps(C11)</f>
        <v>Reid Tang</v>
      </c>
      <c r="C11" s="1" t="s">
        <v>19</v>
      </c>
      <c r="D11" s="16">
        <v>104983696</v>
      </c>
      <c r="G11" t="str">
        <f t="shared" si="0"/>
        <v>Reid</v>
      </c>
      <c r="H11" t="str">
        <f ca="1">IF(A11&gt;2,TRIM(MID(SUBSTITUTE(B11," ",REPT(" ", 100)),100,100)),"")</f>
        <v/>
      </c>
      <c r="I11" t="str">
        <f ca="1">IF(A11&gt;3,TRIM(MID(SUBSTITUTE(B11," ",REPT(" ", 100)),200,100)),"")</f>
        <v/>
      </c>
      <c r="J11" t="str">
        <f>_xlfn.TEXTAFTER(B11, " ", -1)</f>
        <v>Tang</v>
      </c>
      <c r="L11" s="12"/>
      <c r="M11" s="17"/>
    </row>
    <row r="12" spans="1:30">
      <c r="A12" cm="1">
        <f t="array" aca="1" ref="A12" ca="1">SUMPRODUCT(LEN(B12)-LEN(SUBSTITUTE(B12,CHAR(ROW(INDIRECT("65:90"))),"")))</f>
        <v>2</v>
      </c>
      <c r="B12" t="str" cm="1">
        <f t="array" ref="B12">splitcaps(C12)</f>
        <v>Belle Cline</v>
      </c>
      <c r="C12" s="1" t="s">
        <v>20</v>
      </c>
      <c r="D12" s="16">
        <v>837561915</v>
      </c>
      <c r="G12" t="str">
        <f t="shared" si="0"/>
        <v>Belle</v>
      </c>
      <c r="H12" t="str">
        <f ca="1">IF(A12&gt;2,TRIM(MID(SUBSTITUTE(B12," ",REPT(" ", 100)),100,100)),"")</f>
        <v/>
      </c>
      <c r="I12" t="str">
        <f ca="1">IF(A12&gt;3,TRIM(MID(SUBSTITUTE(B12," ",REPT(" ", 100)),200,100)),"")</f>
        <v/>
      </c>
      <c r="J12" t="str">
        <f>_xlfn.TEXTAFTER(B12, " ", -1)</f>
        <v>Cline</v>
      </c>
      <c r="L12" s="12"/>
      <c r="M12" s="17"/>
    </row>
    <row r="13" spans="1:30">
      <c r="A13" cm="1">
        <f t="array" aca="1" ref="A13" ca="1">SUMPRODUCT(LEN(B13)-LEN(SUBSTITUTE(B13,CHAR(ROW(INDIRECT("65:90"))),"")))</f>
        <v>2</v>
      </c>
      <c r="B13" t="str" cm="1">
        <f t="array" ref="B13">splitcaps(C13)</f>
        <v>Cullen Contreras</v>
      </c>
      <c r="C13" s="1" t="s">
        <v>21</v>
      </c>
      <c r="D13" s="16">
        <v>661802306</v>
      </c>
      <c r="G13" t="str">
        <f t="shared" si="0"/>
        <v>Cullen</v>
      </c>
      <c r="H13" t="str">
        <f ca="1">IF(A13&gt;2,TRIM(MID(SUBSTITUTE(B13," ",REPT(" ", 100)),100,100)),"")</f>
        <v/>
      </c>
      <c r="I13" t="str">
        <f ca="1">IF(A13&gt;3,TRIM(MID(SUBSTITUTE(B13," ",REPT(" ", 100)),200,100)),"")</f>
        <v/>
      </c>
      <c r="J13" t="str">
        <f>_xlfn.TEXTAFTER(B13, " ", -1)</f>
        <v>Contreras</v>
      </c>
      <c r="L13" s="12"/>
      <c r="M13" s="17"/>
    </row>
    <row r="14" spans="1:30">
      <c r="A14" cm="1">
        <f t="array" aca="1" ref="A14" ca="1">SUMPRODUCT(LEN(B14)-LEN(SUBSTITUTE(B14,CHAR(ROW(INDIRECT("65:90"))),"")))</f>
        <v>2</v>
      </c>
      <c r="B14" t="str" cm="1">
        <f t="array" ref="B14">splitcaps(C14)</f>
        <v>Daniela Morrow</v>
      </c>
      <c r="C14" s="1" t="s">
        <v>22</v>
      </c>
      <c r="D14" s="16">
        <v>104983696</v>
      </c>
      <c r="G14" t="str">
        <f t="shared" si="0"/>
        <v>Daniela</v>
      </c>
      <c r="H14" t="str">
        <f ca="1">IF(A14&gt;2,TRIM(MID(SUBSTITUTE(B14," ",REPT(" ", 100)),100,100)),"")</f>
        <v/>
      </c>
      <c r="I14" t="str">
        <f ca="1">IF(A14&gt;3,TRIM(MID(SUBSTITUTE(B14," ",REPT(" ", 100)),200,100)),"")</f>
        <v/>
      </c>
      <c r="J14" t="str">
        <f>_xlfn.TEXTAFTER(B14, " ", -1)</f>
        <v>Morrow</v>
      </c>
      <c r="L14" s="12"/>
      <c r="M14" s="17"/>
    </row>
    <row r="15" spans="1:30">
      <c r="A15" cm="1">
        <f t="array" aca="1" ref="A15" ca="1">SUMPRODUCT(LEN(B15)-LEN(SUBSTITUTE(B15,CHAR(ROW(INDIRECT("65:90"))),"")))</f>
        <v>2</v>
      </c>
      <c r="B15" t="str" cm="1">
        <f t="array" ref="B15">splitcaps(C15)</f>
        <v>Kyree Kirby</v>
      </c>
      <c r="C15" s="1" t="s">
        <v>23</v>
      </c>
      <c r="D15" s="16">
        <v>827561915</v>
      </c>
      <c r="G15" t="str">
        <f t="shared" si="0"/>
        <v>Kyree</v>
      </c>
      <c r="H15" t="str">
        <f ca="1">IF(A15&gt;2,TRIM(MID(SUBSTITUTE(B15," ",REPT(" ", 100)),100,100)),"")</f>
        <v/>
      </c>
      <c r="I15" t="str">
        <f ca="1">IF(A15&gt;3,TRIM(MID(SUBSTITUTE(B15," ",REPT(" ", 100)),200,100)),"")</f>
        <v/>
      </c>
      <c r="J15" t="str">
        <f>_xlfn.TEXTAFTER(B15, " ", -1)</f>
        <v>Kirby</v>
      </c>
      <c r="L15" s="12"/>
      <c r="M15" s="17"/>
    </row>
    <row r="16" spans="1:30">
      <c r="A16" cm="1">
        <f t="array" aca="1" ref="A16" ca="1">SUMPRODUCT(LEN(B16)-LEN(SUBSTITUTE(B16,CHAR(ROW(INDIRECT("65:90"))),"")))</f>
        <v>2</v>
      </c>
      <c r="B16" t="str" cm="1">
        <f t="array" ref="B16">splitcaps(C16)</f>
        <v>Skyla Miller</v>
      </c>
      <c r="C16" s="1" t="s">
        <v>24</v>
      </c>
      <c r="D16" s="16">
        <v>661802306</v>
      </c>
      <c r="G16" t="str">
        <f t="shared" si="0"/>
        <v>Skyla</v>
      </c>
      <c r="H16" t="str">
        <f ca="1">IF(A16&gt;2,TRIM(MID(SUBSTITUTE(B16," ",REPT(" ", 100)),100,100)),"")</f>
        <v/>
      </c>
      <c r="I16" t="str">
        <f ca="1">IF(A16&gt;3,TRIM(MID(SUBSTITUTE(B16," ",REPT(" ", 100)),200,100)),"")</f>
        <v/>
      </c>
      <c r="J16" t="str">
        <f>_xlfn.TEXTAFTER(B16, " ", -1)</f>
        <v>Miller</v>
      </c>
      <c r="L16" s="12"/>
      <c r="M16" s="17"/>
    </row>
    <row r="17" spans="1:13">
      <c r="A17" cm="1">
        <f t="array" aca="1" ref="A17" ca="1">SUMPRODUCT(LEN(B17)-LEN(SUBSTITUTE(B17,CHAR(ROW(INDIRECT("65:90"))),"")))</f>
        <v>3</v>
      </c>
      <c r="B17" t="str" cm="1">
        <f t="array" ref="B17">splitcaps(C17)</f>
        <v>Reid Nar Tang</v>
      </c>
      <c r="C17" s="1" t="s">
        <v>215</v>
      </c>
      <c r="D17" s="16">
        <v>104983697</v>
      </c>
      <c r="G17" t="str">
        <f t="shared" si="0"/>
        <v>Reid</v>
      </c>
      <c r="H17" t="str">
        <f ca="1">IF(A17&gt;2,TRIM(MID(SUBSTITUTE(B17," ",REPT(" ", 100)),100,100)),"")</f>
        <v>Nar</v>
      </c>
      <c r="I17" t="str">
        <f ca="1">IF(A17&gt;3,TRIM(MID(SUBSTITUTE(B17," ",REPT(" ", 100)),200,100)),"")</f>
        <v/>
      </c>
      <c r="J17" t="str">
        <f>_xlfn.TEXTAFTER(B17, " ", -1)</f>
        <v>Tang</v>
      </c>
      <c r="L17" s="12"/>
      <c r="M17" s="17"/>
    </row>
    <row r="18" spans="1:13">
      <c r="A18" cm="1">
        <f t="array" aca="1" ref="A18" ca="1">SUMPRODUCT(LEN(B18)-LEN(SUBSTITUTE(B18,CHAR(ROW(INDIRECT("65:90"))),"")))</f>
        <v>2</v>
      </c>
      <c r="B18" t="str" cm="1">
        <f t="array" ref="B18">splitcaps(C18)</f>
        <v>Cline Belle</v>
      </c>
      <c r="C18" s="1" t="s">
        <v>216</v>
      </c>
      <c r="D18" s="16">
        <v>827561951</v>
      </c>
      <c r="G18" t="str">
        <f t="shared" si="0"/>
        <v>Cline</v>
      </c>
      <c r="H18" t="str">
        <f ca="1">IF(A18&gt;2,TRIM(MID(SUBSTITUTE(B18," ",REPT(" ", 100)),100,100)),"")</f>
        <v/>
      </c>
      <c r="I18" t="str">
        <f ca="1">IF(A18&gt;3,TRIM(MID(SUBSTITUTE(B18," ",REPT(" ", 100)),200,100)),"")</f>
        <v/>
      </c>
      <c r="J18" t="str">
        <f>_xlfn.TEXTAFTER(B18, " ", -1)</f>
        <v>Belle</v>
      </c>
      <c r="L18" s="12"/>
      <c r="M18" s="17"/>
    </row>
    <row r="19" spans="1:13">
      <c r="A19" cm="1">
        <f t="array" aca="1" ref="A19" ca="1">SUMPRODUCT(LEN(B19)-LEN(SUBSTITUTE(B19,CHAR(ROW(INDIRECT("65:90"))),"")))</f>
        <v>2</v>
      </c>
      <c r="B19" t="str" cm="1">
        <f t="array" ref="B19">splitcaps(C19)</f>
        <v>Hailey Navarro</v>
      </c>
      <c r="C19" t="s">
        <v>18</v>
      </c>
      <c r="D19" s="16">
        <v>275493850</v>
      </c>
      <c r="G19" t="str">
        <f t="shared" si="0"/>
        <v>Hailey</v>
      </c>
      <c r="H19" t="str">
        <f ca="1">IF(A19&gt;2,TRIM(MID(SUBSTITUTE(B19," ",REPT(" ", 100)),100,100)),"")</f>
        <v/>
      </c>
      <c r="I19" t="str">
        <f ca="1">IF(A19&gt;3,TRIM(MID(SUBSTITUTE(B19," ",REPT(" ", 100)),200,100)),"")</f>
        <v/>
      </c>
      <c r="J19" t="str">
        <f>_xlfn.TEXTAFTER(B19, " ", -1)</f>
        <v>Navarro</v>
      </c>
      <c r="L19" s="12"/>
      <c r="M19" s="17"/>
    </row>
    <row r="20" spans="1:13">
      <c r="A20" cm="1">
        <f t="array" aca="1" ref="A20" ca="1">SUMPRODUCT(LEN(B20)-LEN(SUBSTITUTE(B20,CHAR(ROW(INDIRECT("65:90"))),"")))</f>
        <v>2</v>
      </c>
      <c r="B20" t="str" cm="1">
        <f t="array" ref="B20">splitcaps(C20)</f>
        <v>Kallie Oliver</v>
      </c>
      <c r="C20" s="1" t="s">
        <v>26</v>
      </c>
      <c r="D20" s="13">
        <v>424099939</v>
      </c>
      <c r="G20" t="str">
        <f t="shared" si="0"/>
        <v>Kallie</v>
      </c>
      <c r="H20" t="str">
        <f ca="1">IF(A20&gt;2,TRIM(MID(SUBSTITUTE(B20," ",REPT(" ", 100)),100,100)),"")</f>
        <v/>
      </c>
      <c r="I20" t="str">
        <f ca="1">IF(A20&gt;3,TRIM(MID(SUBSTITUTE(B20," ",REPT(" ", 100)),200,100)),"")</f>
        <v/>
      </c>
      <c r="J20" t="str">
        <f>_xlfn.TEXTAFTER(B20, " ", -1)</f>
        <v>Oliver</v>
      </c>
      <c r="L20" s="12"/>
      <c r="M20" s="17"/>
    </row>
    <row r="21" spans="1:13">
      <c r="A21" cm="1">
        <f t="array" aca="1" ref="A21" ca="1">SUMPRODUCT(LEN(B21)-LEN(SUBSTITUTE(B21,CHAR(ROW(INDIRECT("65:90"))),"")))</f>
        <v>2</v>
      </c>
      <c r="B21" t="str" cm="1">
        <f t="array" ref="B21">splitcaps(C21)</f>
        <v>Karson Shepard</v>
      </c>
      <c r="C21" s="1" t="s">
        <v>27</v>
      </c>
      <c r="D21" s="13">
        <v>930336809</v>
      </c>
      <c r="G21" t="str">
        <f t="shared" si="0"/>
        <v>Karson</v>
      </c>
      <c r="H21" t="str">
        <f ca="1">IF(A21&gt;2,TRIM(MID(SUBSTITUTE(B21," ",REPT(" ", 100)),100,100)),"")</f>
        <v/>
      </c>
      <c r="I21" t="str">
        <f ca="1">IF(A21&gt;3,TRIM(MID(SUBSTITUTE(B21," ",REPT(" ", 100)),200,100)),"")</f>
        <v/>
      </c>
      <c r="J21" t="str">
        <f>_xlfn.TEXTAFTER(B21, " ", -1)</f>
        <v>Shepard</v>
      </c>
      <c r="L21" s="12"/>
      <c r="M21" s="17"/>
    </row>
    <row r="22" spans="1:13">
      <c r="A22" cm="1">
        <f t="array" aca="1" ref="A22" ca="1">SUMPRODUCT(LEN(B22)-LEN(SUBSTITUTE(B22,CHAR(ROW(INDIRECT("65:90"))),"")))</f>
        <v>2</v>
      </c>
      <c r="B22" t="str" cm="1">
        <f t="array" ref="B22">splitcaps(C22)</f>
        <v>Noor Carrillo</v>
      </c>
      <c r="C22" s="1" t="s">
        <v>28</v>
      </c>
      <c r="D22" s="13">
        <v>751252552</v>
      </c>
      <c r="G22" t="str">
        <f t="shared" si="0"/>
        <v>Noor</v>
      </c>
      <c r="H22" t="str">
        <f ca="1">IF(A22&gt;2,TRIM(MID(SUBSTITUTE(B22," ",REPT(" ", 100)),100,100)),"")</f>
        <v/>
      </c>
      <c r="I22" t="str">
        <f ca="1">IF(A22&gt;3,TRIM(MID(SUBSTITUTE(B22," ",REPT(" ", 100)),200,100)),"")</f>
        <v/>
      </c>
      <c r="J22" t="str">
        <f>_xlfn.TEXTAFTER(B22, " ", -1)</f>
        <v>Carrillo</v>
      </c>
      <c r="L22" s="12"/>
      <c r="M22" s="17"/>
    </row>
    <row r="23" spans="1:13">
      <c r="A23" cm="1">
        <f t="array" aca="1" ref="A23" ca="1">SUMPRODUCT(LEN(B23)-LEN(SUBSTITUTE(B23,CHAR(ROW(INDIRECT("65:90"))),"")))</f>
        <v>2</v>
      </c>
      <c r="B23" t="str" cm="1">
        <f t="array" ref="B23">splitcaps(C23)</f>
        <v>Wade Stanley</v>
      </c>
      <c r="C23" s="1" t="s">
        <v>29</v>
      </c>
      <c r="D23" s="13">
        <v>449889311</v>
      </c>
      <c r="G23" t="str">
        <f t="shared" si="0"/>
        <v>Wade</v>
      </c>
      <c r="H23" t="str">
        <f ca="1">IF(A23&gt;2,TRIM(MID(SUBSTITUTE(B23," ",REPT(" ", 100)),100,100)),"")</f>
        <v/>
      </c>
      <c r="I23" t="str">
        <f ca="1">IF(A23&gt;3,TRIM(MID(SUBSTITUTE(B23," ",REPT(" ", 100)),200,100)),"")</f>
        <v/>
      </c>
      <c r="J23" t="str">
        <f>_xlfn.TEXTAFTER(B23, " ", -1)</f>
        <v>Stanley</v>
      </c>
      <c r="L23" s="12"/>
      <c r="M23" s="17"/>
    </row>
    <row r="24" spans="1:13">
      <c r="A24" cm="1">
        <f t="array" aca="1" ref="A24" ca="1">SUMPRODUCT(LEN(B24)-LEN(SUBSTITUTE(B24,CHAR(ROW(INDIRECT("65:90"))),"")))</f>
        <v>2</v>
      </c>
      <c r="B24" t="str" cm="1">
        <f t="array" ref="B24">splitcaps(C24)</f>
        <v>Gracelyn Nelson</v>
      </c>
      <c r="C24" s="1" t="s">
        <v>30</v>
      </c>
      <c r="D24" s="13">
        <v>757547383</v>
      </c>
      <c r="G24" t="str">
        <f t="shared" si="0"/>
        <v>Gracelyn</v>
      </c>
      <c r="H24" t="str">
        <f ca="1">IF(A24&gt;2,TRIM(MID(SUBSTITUTE(B24," ",REPT(" ", 100)),100,100)),"")</f>
        <v/>
      </c>
      <c r="I24" t="str">
        <f ca="1">IF(A24&gt;3,TRIM(MID(SUBSTITUTE(B24," ",REPT(" ", 100)),200,100)),"")</f>
        <v/>
      </c>
      <c r="J24" t="str">
        <f>_xlfn.TEXTAFTER(B24, " ", -1)</f>
        <v>Nelson</v>
      </c>
      <c r="L24" s="12"/>
      <c r="M24" s="17"/>
    </row>
    <row r="25" spans="1:13">
      <c r="A25" cm="1">
        <f t="array" aca="1" ref="A25" ca="1">SUMPRODUCT(LEN(B25)-LEN(SUBSTITUTE(B25,CHAR(ROW(INDIRECT("65:90"))),"")))</f>
        <v>2</v>
      </c>
      <c r="B25" t="str" cm="1">
        <f t="array" ref="B25">splitcaps(C25)</f>
        <v>Dylan Rollins</v>
      </c>
      <c r="C25" s="1" t="s">
        <v>31</v>
      </c>
      <c r="D25" s="13">
        <v>933823154</v>
      </c>
      <c r="G25" t="str">
        <f t="shared" si="0"/>
        <v>Dylan</v>
      </c>
      <c r="H25" t="str">
        <f ca="1">IF(A25&gt;2,TRIM(MID(SUBSTITUTE(B25," ",REPT(" ", 100)),100,100)),"")</f>
        <v/>
      </c>
      <c r="I25" t="str">
        <f ca="1">IF(A25&gt;3,TRIM(MID(SUBSTITUTE(B25," ",REPT(" ", 100)),200,100)),"")</f>
        <v/>
      </c>
      <c r="J25" t="str">
        <f>_xlfn.TEXTAFTER(B25, " ", -1)</f>
        <v>Rollins</v>
      </c>
      <c r="L25" s="12"/>
      <c r="M25" s="17"/>
    </row>
    <row r="26" spans="1:13">
      <c r="A26" cm="1">
        <f t="array" aca="1" ref="A26" ca="1">SUMPRODUCT(LEN(B26)-LEN(SUBSTITUTE(B26,CHAR(ROW(INDIRECT("65:90"))),"")))</f>
        <v>3</v>
      </c>
      <c r="B26" t="str" cm="1">
        <f t="array" ref="B26">splitcaps(C26)</f>
        <v>Araceli Mc Intyre</v>
      </c>
      <c r="C26" s="1" t="s">
        <v>32</v>
      </c>
      <c r="D26" s="13">
        <v>138053153</v>
      </c>
      <c r="G26" t="str">
        <f t="shared" si="0"/>
        <v>Araceli</v>
      </c>
      <c r="H26" t="str">
        <f ca="1">IF(A26&gt;2,TRIM(MID(SUBSTITUTE(B26," ",REPT(" ", 100)),100,100)),"")</f>
        <v>Mc</v>
      </c>
      <c r="I26" t="str">
        <f ca="1">IF(A26&gt;3,TRIM(MID(SUBSTITUTE(B26," ",REPT(" ", 100)),200,100)),"")</f>
        <v/>
      </c>
      <c r="J26" t="str">
        <f>_xlfn.TEXTAFTER(B26, " ", -1)</f>
        <v>Intyre</v>
      </c>
      <c r="L26" s="12"/>
      <c r="M26" s="17"/>
    </row>
    <row r="27" spans="1:13">
      <c r="A27" cm="1">
        <f t="array" aca="1" ref="A27" ca="1">SUMPRODUCT(LEN(B27)-LEN(SUBSTITUTE(B27,CHAR(ROW(INDIRECT("65:90"))),"")))</f>
        <v>2</v>
      </c>
      <c r="B27" t="str" cm="1">
        <f t="array" ref="B27">splitcaps(C27)</f>
        <v>Eliseo Gates</v>
      </c>
      <c r="C27" s="1" t="s">
        <v>33</v>
      </c>
      <c r="D27" s="13">
        <v>874629962</v>
      </c>
      <c r="G27" t="str">
        <f t="shared" si="0"/>
        <v>Eliseo</v>
      </c>
      <c r="H27" t="str">
        <f ca="1">IF(A27&gt;2,TRIM(MID(SUBSTITUTE(B27," ",REPT(" ", 100)),100,100)),"")</f>
        <v/>
      </c>
      <c r="I27" t="str">
        <f ca="1">IF(A27&gt;3,TRIM(MID(SUBSTITUTE(B27," ",REPT(" ", 100)),200,100)),"")</f>
        <v/>
      </c>
      <c r="J27" t="str">
        <f>_xlfn.TEXTAFTER(B27, " ", -1)</f>
        <v>Gates</v>
      </c>
      <c r="L27" s="12"/>
      <c r="M27" s="17"/>
    </row>
    <row r="28" spans="1:13">
      <c r="A28" cm="1">
        <f t="array" aca="1" ref="A28" ca="1">SUMPRODUCT(LEN(B28)-LEN(SUBSTITUTE(B28,CHAR(ROW(INDIRECT("65:90"))),"")))</f>
        <v>2</v>
      </c>
      <c r="B28" t="str" cm="1">
        <f t="array" ref="B28">splitcaps(C28)</f>
        <v>Melina Peters</v>
      </c>
      <c r="C28" s="1" t="s">
        <v>34</v>
      </c>
      <c r="D28" s="13">
        <v>809455888</v>
      </c>
      <c r="G28" t="str">
        <f t="shared" si="0"/>
        <v>Melina</v>
      </c>
      <c r="H28" t="str">
        <f ca="1">IF(A28&gt;2,TRIM(MID(SUBSTITUTE(B28," ",REPT(" ", 100)),100,100)),"")</f>
        <v/>
      </c>
      <c r="I28" t="str">
        <f ca="1">IF(A28&gt;3,TRIM(MID(SUBSTITUTE(B28," ",REPT(" ", 100)),200,100)),"")</f>
        <v/>
      </c>
      <c r="J28" t="str">
        <f>_xlfn.TEXTAFTER(B28, " ", -1)</f>
        <v>Peters</v>
      </c>
      <c r="L28" s="12"/>
      <c r="M28" s="17"/>
    </row>
    <row r="29" spans="1:13">
      <c r="A29" cm="1">
        <f t="array" aca="1" ref="A29" ca="1">SUMPRODUCT(LEN(B29)-LEN(SUBSTITUTE(B29,CHAR(ROW(INDIRECT("65:90"))),"")))</f>
        <v>2</v>
      </c>
      <c r="B29" t="str" cm="1">
        <f t="array" ref="B29">splitcaps(C29)</f>
        <v>Patrick Marsh</v>
      </c>
      <c r="C29" s="1" t="s">
        <v>35</v>
      </c>
      <c r="D29" s="13">
        <v>947106292</v>
      </c>
      <c r="G29" t="str">
        <f t="shared" si="0"/>
        <v>Patrick</v>
      </c>
      <c r="H29" t="str">
        <f ca="1">IF(A29&gt;2,TRIM(MID(SUBSTITUTE(B29," ",REPT(" ", 100)),100,100)),"")</f>
        <v/>
      </c>
      <c r="I29" t="str">
        <f ca="1">IF(A29&gt;3,TRIM(MID(SUBSTITUTE(B29," ",REPT(" ", 100)),200,100)),"")</f>
        <v/>
      </c>
      <c r="J29" t="str">
        <f>_xlfn.TEXTAFTER(B29, " ", -1)</f>
        <v>Marsh</v>
      </c>
      <c r="L29" s="12"/>
      <c r="M29" s="17"/>
    </row>
    <row r="30" spans="1:13">
      <c r="A30" cm="1">
        <f t="array" aca="1" ref="A30" ca="1">SUMPRODUCT(LEN(B30)-LEN(SUBSTITUTE(B30,CHAR(ROW(INDIRECT("65:90"))),"")))</f>
        <v>2</v>
      </c>
      <c r="B30" t="str" cm="1">
        <f t="array" ref="B30">splitcaps(C30)</f>
        <v>Adelina Tapia</v>
      </c>
      <c r="C30" s="1" t="s">
        <v>36</v>
      </c>
      <c r="D30" s="13">
        <v>287079256</v>
      </c>
      <c r="G30" t="str">
        <f t="shared" si="0"/>
        <v>Adelina</v>
      </c>
      <c r="H30" t="str">
        <f ca="1">IF(A30&gt;2,TRIM(MID(SUBSTITUTE(B30," ",REPT(" ", 100)),100,100)),"")</f>
        <v/>
      </c>
      <c r="I30" t="str">
        <f ca="1">IF(A30&gt;3,TRIM(MID(SUBSTITUTE(B30," ",REPT(" ", 100)),200,100)),"")</f>
        <v/>
      </c>
      <c r="J30" t="str">
        <f>_xlfn.TEXTAFTER(B30, " ", -1)</f>
        <v>Tapia</v>
      </c>
      <c r="L30" s="12"/>
      <c r="M30" s="17"/>
    </row>
    <row r="31" spans="1:13">
      <c r="A31" cm="1">
        <f t="array" aca="1" ref="A31" ca="1">SUMPRODUCT(LEN(B31)-LEN(SUBSTITUTE(B31,CHAR(ROW(INDIRECT("65:90"))),"")))</f>
        <v>2</v>
      </c>
      <c r="B31" t="str" cm="1">
        <f t="array" ref="B31">splitcaps(C31)</f>
        <v>Samir Rangel</v>
      </c>
      <c r="C31" s="1" t="s">
        <v>37</v>
      </c>
      <c r="D31" s="13">
        <v>246619038</v>
      </c>
      <c r="G31" t="str">
        <f t="shared" si="0"/>
        <v>Samir</v>
      </c>
      <c r="H31" t="str">
        <f ca="1">IF(A31&gt;2,TRIM(MID(SUBSTITUTE(B31," ",REPT(" ", 100)),100,100)),"")</f>
        <v/>
      </c>
      <c r="I31" t="str">
        <f ca="1">IF(A31&gt;3,TRIM(MID(SUBSTITUTE(B31," ",REPT(" ", 100)),200,100)),"")</f>
        <v/>
      </c>
      <c r="J31" t="str">
        <f>_xlfn.TEXTAFTER(B31, " ", -1)</f>
        <v>Rangel</v>
      </c>
      <c r="L31" s="12"/>
      <c r="M31" s="17"/>
    </row>
    <row r="32" spans="1:13">
      <c r="A32" cm="1">
        <f t="array" aca="1" ref="A32" ca="1">SUMPRODUCT(LEN(B32)-LEN(SUBSTITUTE(B32,CHAR(ROW(INDIRECT("65:90"))),"")))</f>
        <v>2</v>
      </c>
      <c r="B32" t="str" cm="1">
        <f t="array" ref="B32">splitcaps(C32)</f>
        <v>Gloria Frederick</v>
      </c>
      <c r="C32" s="1" t="s">
        <v>38</v>
      </c>
      <c r="D32" s="13">
        <v>546890201</v>
      </c>
      <c r="G32" t="str">
        <f t="shared" si="0"/>
        <v>Gloria</v>
      </c>
      <c r="H32" t="str">
        <f ca="1">IF(A32&gt;2,TRIM(MID(SUBSTITUTE(B32," ",REPT(" ", 100)),100,100)),"")</f>
        <v/>
      </c>
      <c r="I32" t="str">
        <f ca="1">IF(A32&gt;3,TRIM(MID(SUBSTITUTE(B32," ",REPT(" ", 100)),200,100)),"")</f>
        <v/>
      </c>
      <c r="J32" t="str">
        <f>_xlfn.TEXTAFTER(B32, " ", -1)</f>
        <v>Frederick</v>
      </c>
      <c r="L32" s="12"/>
      <c r="M32" s="17"/>
    </row>
    <row r="33" spans="1:13">
      <c r="A33" cm="1">
        <f t="array" aca="1" ref="A33" ca="1">SUMPRODUCT(LEN(B33)-LEN(SUBSTITUTE(B33,CHAR(ROW(INDIRECT("65:90"))),"")))</f>
        <v>2</v>
      </c>
      <c r="B33" t="str" cm="1">
        <f t="array" ref="B33">splitcaps(C33)</f>
        <v>Kase Lindsey</v>
      </c>
      <c r="C33" s="1" t="s">
        <v>39</v>
      </c>
      <c r="D33" s="13">
        <v>727808036</v>
      </c>
      <c r="G33" t="str">
        <f t="shared" si="0"/>
        <v>Kase</v>
      </c>
      <c r="H33" t="str">
        <f ca="1">IF(A33&gt;2,TRIM(MID(SUBSTITUTE(B33," ",REPT(" ", 100)),100,100)),"")</f>
        <v/>
      </c>
      <c r="I33" t="str">
        <f ca="1">IF(A33&gt;3,TRIM(MID(SUBSTITUTE(B33," ",REPT(" ", 100)),200,100)),"")</f>
        <v/>
      </c>
      <c r="J33" t="str">
        <f>_xlfn.TEXTAFTER(B33, " ", -1)</f>
        <v>Lindsey</v>
      </c>
      <c r="L33" s="12"/>
      <c r="M33" s="17"/>
    </row>
    <row r="34" spans="1:13">
      <c r="A34" cm="1">
        <f t="array" aca="1" ref="A34" ca="1">SUMPRODUCT(LEN(B34)-LEN(SUBSTITUTE(B34,CHAR(ROW(INDIRECT("65:90"))),"")))</f>
        <v>2</v>
      </c>
      <c r="B34" t="str" cm="1">
        <f t="array" ref="B34">splitcaps(C34)</f>
        <v>Colette Meadows</v>
      </c>
      <c r="C34" s="1" t="s">
        <v>40</v>
      </c>
      <c r="D34" s="13">
        <v>341488038</v>
      </c>
      <c r="G34" t="str">
        <f t="shared" si="0"/>
        <v>Colette</v>
      </c>
      <c r="H34" t="str">
        <f ca="1">IF(A34&gt;2,TRIM(MID(SUBSTITUTE(B34," ",REPT(" ", 100)),100,100)),"")</f>
        <v/>
      </c>
      <c r="I34" t="str">
        <f ca="1">IF(A34&gt;3,TRIM(MID(SUBSTITUTE(B34," ",REPT(" ", 100)),200,100)),"")</f>
        <v/>
      </c>
      <c r="J34" t="str">
        <f>_xlfn.TEXTAFTER(B34, " ", -1)</f>
        <v>Meadows</v>
      </c>
      <c r="L34" s="12"/>
      <c r="M34" s="17"/>
    </row>
    <row r="35" spans="1:13">
      <c r="A35" cm="1">
        <f t="array" aca="1" ref="A35" ca="1">SUMPRODUCT(LEN(B35)-LEN(SUBSTITUTE(B35,CHAR(ROW(INDIRECT("65:90"))),"")))</f>
        <v>2</v>
      </c>
      <c r="B35" t="str" cm="1">
        <f t="array" ref="B35">splitcaps(C35)</f>
        <v>Wayne Porter</v>
      </c>
      <c r="C35" s="1" t="s">
        <v>41</v>
      </c>
      <c r="D35" s="13">
        <v>275100095</v>
      </c>
      <c r="G35" t="str">
        <f t="shared" si="0"/>
        <v>Wayne</v>
      </c>
      <c r="H35" t="str">
        <f ca="1">IF(A35&gt;2,TRIM(MID(SUBSTITUTE(B35," ",REPT(" ", 100)),100,100)),"")</f>
        <v/>
      </c>
      <c r="I35" t="str">
        <f ca="1">IF(A35&gt;3,TRIM(MID(SUBSTITUTE(B35," ",REPT(" ", 100)),200,100)),"")</f>
        <v/>
      </c>
      <c r="J35" t="str">
        <f>_xlfn.TEXTAFTER(B35, " ", -1)</f>
        <v>Porter</v>
      </c>
      <c r="L35" s="12"/>
      <c r="M35" s="17"/>
    </row>
    <row r="36" spans="1:13">
      <c r="A36" cm="1">
        <f t="array" aca="1" ref="A36" ca="1">SUMPRODUCT(LEN(B36)-LEN(SUBSTITUTE(B36,CHAR(ROW(INDIRECT("65:90"))),"")))</f>
        <v>3</v>
      </c>
      <c r="B36" t="str" cm="1">
        <f t="array" ref="B36">splitcaps(C36)</f>
        <v>Ryleigh Mc Kenzie</v>
      </c>
      <c r="C36" s="1" t="s">
        <v>42</v>
      </c>
      <c r="D36" s="13">
        <v>710711188</v>
      </c>
      <c r="G36" t="str">
        <f t="shared" si="0"/>
        <v>Ryleigh</v>
      </c>
      <c r="H36" t="str">
        <f ca="1">IF(A36&gt;2,TRIM(MID(SUBSTITUTE(B36," ",REPT(" ", 100)),100,100)),"")</f>
        <v>Mc</v>
      </c>
      <c r="I36" t="str">
        <f ca="1">IF(A36&gt;3,TRIM(MID(SUBSTITUTE(B36," ",REPT(" ", 100)),200,100)),"")</f>
        <v/>
      </c>
      <c r="J36" t="str">
        <f>_xlfn.TEXTAFTER(B36, " ", -1)</f>
        <v>Kenzie</v>
      </c>
      <c r="L36" s="12"/>
      <c r="M36" s="17"/>
    </row>
    <row r="37" spans="1:13">
      <c r="A37" cm="1">
        <f t="array" aca="1" ref="A37" ca="1">SUMPRODUCT(LEN(B37)-LEN(SUBSTITUTE(B37,CHAR(ROW(INDIRECT("65:90"))),"")))</f>
        <v>2</v>
      </c>
      <c r="B37" t="str" cm="1">
        <f t="array" ref="B37">splitcaps(C37)</f>
        <v>Scott Valdez</v>
      </c>
      <c r="C37" s="1" t="s">
        <v>43</v>
      </c>
      <c r="D37" s="13">
        <v>185290844</v>
      </c>
      <c r="G37" t="str">
        <f t="shared" si="0"/>
        <v>Scott</v>
      </c>
      <c r="H37" t="str">
        <f ca="1">IF(A37&gt;2,TRIM(MID(SUBSTITUTE(B37," ",REPT(" ", 100)),100,100)),"")</f>
        <v/>
      </c>
      <c r="I37" t="str">
        <f ca="1">IF(A37&gt;3,TRIM(MID(SUBSTITUTE(B37," ",REPT(" ", 100)),200,100)),"")</f>
        <v/>
      </c>
      <c r="J37" t="str">
        <f>_xlfn.TEXTAFTER(B37, " ", -1)</f>
        <v>Valdez</v>
      </c>
      <c r="L37" s="12"/>
      <c r="M37" s="17"/>
    </row>
    <row r="38" spans="1:13">
      <c r="A38" cm="1">
        <f t="array" aca="1" ref="A38" ca="1">SUMPRODUCT(LEN(B38)-LEN(SUBSTITUTE(B38,CHAR(ROW(INDIRECT("65:90"))),"")))</f>
        <v>2</v>
      </c>
      <c r="B38" t="str" cm="1">
        <f t="array" ref="B38">splitcaps(C38)</f>
        <v>Diana Rivas</v>
      </c>
      <c r="C38" s="1" t="s">
        <v>44</v>
      </c>
      <c r="D38" s="13">
        <v>246292726</v>
      </c>
      <c r="G38" t="str">
        <f t="shared" si="0"/>
        <v>Diana</v>
      </c>
      <c r="H38" t="str">
        <f ca="1">IF(A38&gt;2,TRIM(MID(SUBSTITUTE(B38," ",REPT(" ", 100)),100,100)),"")</f>
        <v/>
      </c>
      <c r="I38" t="str">
        <f ca="1">IF(A38&gt;3,TRIM(MID(SUBSTITUTE(B38," ",REPT(" ", 100)),200,100)),"")</f>
        <v/>
      </c>
      <c r="J38" t="str">
        <f>_xlfn.TEXTAFTER(B38, " ", -1)</f>
        <v>Rivas</v>
      </c>
      <c r="L38" s="12"/>
      <c r="M38" s="17"/>
    </row>
    <row r="39" spans="1:13">
      <c r="A39" cm="1">
        <f t="array" aca="1" ref="A39" ca="1">SUMPRODUCT(LEN(B39)-LEN(SUBSTITUTE(B39,CHAR(ROW(INDIRECT("65:90"))),"")))</f>
        <v>2</v>
      </c>
      <c r="B39" t="str" cm="1">
        <f t="array" ref="B39">splitcaps(C39)</f>
        <v>Damon Middleton</v>
      </c>
      <c r="C39" s="1" t="s">
        <v>45</v>
      </c>
      <c r="D39" s="13">
        <v>846685329</v>
      </c>
      <c r="G39" t="str">
        <f t="shared" si="0"/>
        <v>Damon</v>
      </c>
      <c r="H39" t="str">
        <f ca="1">IF(A39&gt;2,TRIM(MID(SUBSTITUTE(B39," ",REPT(" ", 100)),100,100)),"")</f>
        <v/>
      </c>
      <c r="I39" t="str">
        <f ca="1">IF(A39&gt;3,TRIM(MID(SUBSTITUTE(B39," ",REPT(" ", 100)),200,100)),"")</f>
        <v/>
      </c>
      <c r="J39" t="str">
        <f>_xlfn.TEXTAFTER(B39, " ", -1)</f>
        <v>Middleton</v>
      </c>
      <c r="L39" s="12"/>
      <c r="M39" s="17"/>
    </row>
    <row r="40" spans="1:13">
      <c r="A40" cm="1">
        <f t="array" aca="1" ref="A40" ca="1">SUMPRODUCT(LEN(B40)-LEN(SUBSTITUTE(B40,CHAR(ROW(INDIRECT("65:90"))),"")))</f>
        <v>3</v>
      </c>
      <c r="B40" t="str" cm="1">
        <f t="array" ref="B40">splitcaps(C40)</f>
        <v>Madalyn Mc Mahon</v>
      </c>
      <c r="C40" s="1" t="s">
        <v>46</v>
      </c>
      <c r="D40" s="13">
        <v>303672768</v>
      </c>
      <c r="G40" t="str">
        <f t="shared" si="0"/>
        <v>Madalyn</v>
      </c>
      <c r="H40" t="str">
        <f ca="1">IF(A40&gt;2,TRIM(MID(SUBSTITUTE(B40," ",REPT(" ", 100)),100,100)),"")</f>
        <v>Mc</v>
      </c>
      <c r="I40" t="str">
        <f ca="1">IF(A40&gt;3,TRIM(MID(SUBSTITUTE(B40," ",REPT(" ", 100)),200,100)),"")</f>
        <v/>
      </c>
      <c r="J40" t="str">
        <f>_xlfn.TEXTAFTER(B40, " ", -1)</f>
        <v>Mahon</v>
      </c>
      <c r="L40" s="12"/>
      <c r="M40" s="17"/>
    </row>
    <row r="41" spans="1:13">
      <c r="A41" cm="1">
        <f t="array" aca="1" ref="A41" ca="1">SUMPRODUCT(LEN(B41)-LEN(SUBSTITUTE(B41,CHAR(ROW(INDIRECT("65:90"))),"")))</f>
        <v>2</v>
      </c>
      <c r="B41" t="str" cm="1">
        <f t="array" ref="B41">splitcaps(C41)</f>
        <v>Jakob Solis</v>
      </c>
      <c r="C41" s="1" t="s">
        <v>47</v>
      </c>
      <c r="D41" s="13">
        <v>392845610</v>
      </c>
      <c r="G41" t="str">
        <f t="shared" si="0"/>
        <v>Jakob</v>
      </c>
      <c r="H41" t="str">
        <f ca="1">IF(A41&gt;2,TRIM(MID(SUBSTITUTE(B41," ",REPT(" ", 100)),100,100)),"")</f>
        <v/>
      </c>
      <c r="I41" t="str">
        <f ca="1">IF(A41&gt;3,TRIM(MID(SUBSTITUTE(B41," ",REPT(" ", 100)),200,100)),"")</f>
        <v/>
      </c>
      <c r="J41" t="str">
        <f>_xlfn.TEXTAFTER(B41, " ", -1)</f>
        <v>Solis</v>
      </c>
      <c r="L41" s="12"/>
      <c r="M41" s="17"/>
    </row>
    <row r="42" spans="1:13">
      <c r="A42" cm="1">
        <f t="array" aca="1" ref="A42" ca="1">SUMPRODUCT(LEN(B42)-LEN(SUBSTITUTE(B42,CHAR(ROW(INDIRECT("65:90"))),"")))</f>
        <v>2</v>
      </c>
      <c r="B42" t="str" cm="1">
        <f t="array" ref="B42">splitcaps(C42)</f>
        <v>Miracle Trevino</v>
      </c>
      <c r="C42" s="1" t="s">
        <v>48</v>
      </c>
      <c r="D42" s="13">
        <v>469265295</v>
      </c>
      <c r="G42" t="str">
        <f t="shared" si="0"/>
        <v>Miracle</v>
      </c>
      <c r="H42" t="str">
        <f ca="1">IF(A42&gt;2,TRIM(MID(SUBSTITUTE(B42," ",REPT(" ", 100)),100,100)),"")</f>
        <v/>
      </c>
      <c r="I42" t="str">
        <f ca="1">IF(A42&gt;3,TRIM(MID(SUBSTITUTE(B42," ",REPT(" ", 100)),200,100)),"")</f>
        <v/>
      </c>
      <c r="J42" t="str">
        <f>_xlfn.TEXTAFTER(B42, " ", -1)</f>
        <v>Trevino</v>
      </c>
      <c r="L42" s="12"/>
      <c r="M42" s="17"/>
    </row>
    <row r="43" spans="1:13">
      <c r="A43" cm="1">
        <f t="array" aca="1" ref="A43" ca="1">SUMPRODUCT(LEN(B43)-LEN(SUBSTITUTE(B43,CHAR(ROW(INDIRECT("65:90"))),"")))</f>
        <v>2</v>
      </c>
      <c r="B43" t="str" cm="1">
        <f t="array" ref="B43">splitcaps(C43)</f>
        <v>Jaime Cuevas</v>
      </c>
      <c r="C43" s="1" t="s">
        <v>49</v>
      </c>
      <c r="D43" s="13">
        <v>438126970</v>
      </c>
      <c r="G43" t="str">
        <f t="shared" si="0"/>
        <v>Jaime</v>
      </c>
      <c r="H43" t="str">
        <f ca="1">IF(A43&gt;2,TRIM(MID(SUBSTITUTE(B43," ",REPT(" ", 100)),100,100)),"")</f>
        <v/>
      </c>
      <c r="I43" t="str">
        <f ca="1">IF(A43&gt;3,TRIM(MID(SUBSTITUTE(B43," ",REPT(" ", 100)),200,100)),"")</f>
        <v/>
      </c>
      <c r="J43" t="str">
        <f>_xlfn.TEXTAFTER(B43, " ", -1)</f>
        <v>Cuevas</v>
      </c>
      <c r="L43" s="12"/>
      <c r="M43" s="17"/>
    </row>
    <row r="44" spans="1:13">
      <c r="A44" cm="1">
        <f t="array" aca="1" ref="A44" ca="1">SUMPRODUCT(LEN(B44)-LEN(SUBSTITUTE(B44,CHAR(ROW(INDIRECT("65:90"))),"")))</f>
        <v>2</v>
      </c>
      <c r="B44" t="str" cm="1">
        <f t="array" ref="B44">splitcaps(C44)</f>
        <v>Adele Strong</v>
      </c>
      <c r="C44" s="1" t="s">
        <v>50</v>
      </c>
      <c r="D44" s="13">
        <v>342522125</v>
      </c>
      <c r="G44" t="str">
        <f t="shared" si="0"/>
        <v>Adele</v>
      </c>
      <c r="H44" t="str">
        <f ca="1">IF(A44&gt;2,TRIM(MID(SUBSTITUTE(B44," ",REPT(" ", 100)),100,100)),"")</f>
        <v/>
      </c>
      <c r="I44" t="str">
        <f ca="1">IF(A44&gt;3,TRIM(MID(SUBSTITUTE(B44," ",REPT(" ", 100)),200,100)),"")</f>
        <v/>
      </c>
      <c r="J44" t="str">
        <f>_xlfn.TEXTAFTER(B44, " ", -1)</f>
        <v>Strong</v>
      </c>
      <c r="L44" s="12"/>
      <c r="M44" s="17"/>
    </row>
    <row r="45" spans="1:13">
      <c r="A45" cm="1">
        <f t="array" aca="1" ref="A45" ca="1">SUMPRODUCT(LEN(B45)-LEN(SUBSTITUTE(B45,CHAR(ROW(INDIRECT("65:90"))),"")))</f>
        <v>2</v>
      </c>
      <c r="B45" t="str" cm="1">
        <f t="array" ref="B45">splitcaps(C45)</f>
        <v>Axl Combs</v>
      </c>
      <c r="C45" s="1" t="s">
        <v>51</v>
      </c>
      <c r="D45" s="13">
        <v>313642139</v>
      </c>
      <c r="G45" t="str">
        <f t="shared" si="0"/>
        <v>Axl</v>
      </c>
      <c r="H45" t="str">
        <f ca="1">IF(A45&gt;2,TRIM(MID(SUBSTITUTE(B45," ",REPT(" ", 100)),100,100)),"")</f>
        <v/>
      </c>
      <c r="I45" t="str">
        <f ca="1">IF(A45&gt;3,TRIM(MID(SUBSTITUTE(B45," ",REPT(" ", 100)),200,100)),"")</f>
        <v/>
      </c>
      <c r="J45" t="str">
        <f>_xlfn.TEXTAFTER(B45, " ", -1)</f>
        <v>Combs</v>
      </c>
      <c r="L45" s="12"/>
      <c r="M45" s="17"/>
    </row>
    <row r="46" spans="1:13">
      <c r="C46" s="1"/>
      <c r="D46" s="13"/>
      <c r="L46" s="12"/>
      <c r="M46" s="17"/>
    </row>
    <row r="47" spans="1:13">
      <c r="C47" s="1"/>
      <c r="D47" s="13"/>
      <c r="L47" s="12"/>
      <c r="M47" s="17"/>
    </row>
    <row r="48" spans="1:13">
      <c r="C48" s="1"/>
      <c r="D48" s="13"/>
      <c r="L48" s="12"/>
      <c r="M48" s="17"/>
    </row>
    <row r="49" spans="3:13">
      <c r="C49" s="1"/>
      <c r="D49" s="13"/>
      <c r="L49" s="12"/>
      <c r="M49" s="17"/>
    </row>
    <row r="50" spans="3:13">
      <c r="C50" s="1"/>
      <c r="D50" s="13"/>
      <c r="L50" s="12"/>
      <c r="M50" s="17"/>
    </row>
    <row r="51" spans="3:13">
      <c r="C51" s="1"/>
      <c r="D51" s="13"/>
      <c r="L51" s="12"/>
      <c r="M51" s="17"/>
    </row>
    <row r="52" spans="3:13">
      <c r="C52" s="1"/>
      <c r="D52" s="13"/>
      <c r="L52" s="12"/>
      <c r="M52" s="17"/>
    </row>
    <row r="53" spans="3:13">
      <c r="C53" s="1"/>
      <c r="D53" s="13"/>
      <c r="L53" s="12"/>
      <c r="M53" s="17"/>
    </row>
    <row r="54" spans="3:13">
      <c r="L54" s="12"/>
      <c r="M54" s="17"/>
    </row>
    <row r="55" spans="3:13">
      <c r="L55" s="12"/>
      <c r="M55" s="17"/>
    </row>
    <row r="56" spans="3:13">
      <c r="L56" s="12"/>
      <c r="M56" s="17"/>
    </row>
    <row r="57" spans="3:13">
      <c r="L57" s="12"/>
      <c r="M57" s="17"/>
    </row>
    <row r="58" spans="3:13">
      <c r="L58" s="12"/>
      <c r="M58" s="17"/>
    </row>
    <row r="59" spans="3:13">
      <c r="L59" s="12"/>
      <c r="M59" s="17"/>
    </row>
    <row r="60" spans="3:13">
      <c r="L60" s="12"/>
      <c r="M60" s="17"/>
    </row>
    <row r="61" spans="3:13">
      <c r="L61" s="12"/>
      <c r="M61" s="17"/>
    </row>
    <row r="62" spans="3:13">
      <c r="L62" s="12"/>
      <c r="M62" s="17"/>
    </row>
    <row r="63" spans="3:13">
      <c r="L63" s="12"/>
      <c r="M63" s="17"/>
    </row>
    <row r="64" spans="3:13">
      <c r="L64" s="12"/>
      <c r="M64" s="17"/>
    </row>
    <row r="65" spans="12:13">
      <c r="L65" s="12"/>
      <c r="M65" s="17"/>
    </row>
    <row r="66" spans="12:13">
      <c r="L66" s="12"/>
      <c r="M66" s="17"/>
    </row>
    <row r="67" spans="12:13">
      <c r="L67" s="12"/>
      <c r="M67" s="17"/>
    </row>
    <row r="68" spans="12:13">
      <c r="L68" s="12"/>
      <c r="M68" s="17"/>
    </row>
    <row r="69" spans="12:13">
      <c r="L69" s="12"/>
      <c r="M69" s="17"/>
    </row>
    <row r="70" spans="12:13">
      <c r="L70" s="12"/>
      <c r="M70" s="17"/>
    </row>
    <row r="71" spans="12:13">
      <c r="L71" s="12"/>
      <c r="M71" s="17"/>
    </row>
    <row r="72" spans="12:13">
      <c r="L72" s="12"/>
      <c r="M72" s="17"/>
    </row>
    <row r="73" spans="12:13">
      <c r="L73" s="12"/>
      <c r="M73" s="17"/>
    </row>
    <row r="74" spans="12:13">
      <c r="L74" s="12"/>
      <c r="M74" s="17"/>
    </row>
    <row r="75" spans="12:13">
      <c r="L75" s="12"/>
      <c r="M75" s="17"/>
    </row>
    <row r="76" spans="12:13">
      <c r="L76" s="12"/>
      <c r="M76" s="17"/>
    </row>
    <row r="77" spans="12:13">
      <c r="L77" s="12"/>
      <c r="M77" s="17"/>
    </row>
    <row r="78" spans="12:13">
      <c r="L78" s="12"/>
      <c r="M78" s="17"/>
    </row>
    <row r="79" spans="12:13">
      <c r="L79" s="12"/>
      <c r="M79" s="17"/>
    </row>
    <row r="80" spans="12:13">
      <c r="L80" s="12"/>
      <c r="M80" s="17"/>
    </row>
    <row r="81" spans="12:13">
      <c r="L81" s="12"/>
      <c r="M81" s="17"/>
    </row>
    <row r="82" spans="12:13">
      <c r="L82" s="12"/>
      <c r="M82" s="17"/>
    </row>
    <row r="83" spans="12:13">
      <c r="L83" s="12"/>
      <c r="M83" s="17"/>
    </row>
    <row r="84" spans="12:13">
      <c r="L84" s="12"/>
      <c r="M84" s="17"/>
    </row>
    <row r="85" spans="12:13">
      <c r="L85" s="12"/>
      <c r="M85" s="17"/>
    </row>
    <row r="86" spans="12:13">
      <c r="L86" s="12"/>
      <c r="M86" s="17"/>
    </row>
    <row r="87" spans="12:13">
      <c r="L87" s="12"/>
      <c r="M87" s="17"/>
    </row>
    <row r="88" spans="12:13">
      <c r="L88" s="12"/>
      <c r="M88" s="17"/>
    </row>
    <row r="89" spans="12:13">
      <c r="L89" s="12"/>
      <c r="M89" s="17"/>
    </row>
    <row r="90" spans="12:13">
      <c r="L90" s="12"/>
      <c r="M90" s="17"/>
    </row>
    <row r="91" spans="12:13">
      <c r="L91" s="12"/>
      <c r="M91" s="17"/>
    </row>
    <row r="92" spans="12:13">
      <c r="L92" s="12"/>
      <c r="M92" s="17"/>
    </row>
    <row r="93" spans="12:13">
      <c r="L93" s="12"/>
      <c r="M93" s="17"/>
    </row>
    <row r="94" spans="12:13">
      <c r="L94" s="12"/>
      <c r="M94" s="17"/>
    </row>
    <row r="95" spans="12:13">
      <c r="L95" s="12"/>
      <c r="M95" s="17"/>
    </row>
    <row r="96" spans="12:13">
      <c r="L96" s="12"/>
      <c r="M96" s="17"/>
    </row>
    <row r="97" spans="12:13">
      <c r="L97" s="12"/>
      <c r="M97" s="17"/>
    </row>
    <row r="98" spans="12:13">
      <c r="L98" s="12"/>
      <c r="M98" s="17"/>
    </row>
    <row r="99" spans="12:13">
      <c r="L99" s="12"/>
      <c r="M99" s="17"/>
    </row>
    <row r="100" spans="12:13">
      <c r="L100" s="12"/>
      <c r="M100" s="17"/>
    </row>
    <row r="101" spans="12:13">
      <c r="L101" s="12"/>
      <c r="M101" s="17"/>
    </row>
    <row r="102" spans="12:13">
      <c r="L102" s="12"/>
      <c r="M102" s="17"/>
    </row>
    <row r="103" spans="12:13">
      <c r="L103" s="12"/>
      <c r="M103" s="17"/>
    </row>
    <row r="104" spans="12:13">
      <c r="L104" s="12"/>
      <c r="M104" s="17"/>
    </row>
    <row r="105" spans="12:13">
      <c r="L105" s="12"/>
      <c r="M105" s="17"/>
    </row>
    <row r="106" spans="12:13">
      <c r="L106" s="12"/>
      <c r="M106" s="17"/>
    </row>
    <row r="107" spans="12:13">
      <c r="L107" s="12"/>
      <c r="M107" s="17"/>
    </row>
    <row r="108" spans="12:13">
      <c r="L108" s="12"/>
      <c r="M108" s="17"/>
    </row>
    <row r="109" spans="12:13">
      <c r="L109" s="12"/>
      <c r="M109" s="17"/>
    </row>
    <row r="110" spans="12:13">
      <c r="L110" s="12"/>
      <c r="M110" s="17"/>
    </row>
    <row r="111" spans="12:13">
      <c r="L111" s="12"/>
      <c r="M111" s="17"/>
    </row>
    <row r="112" spans="12:13">
      <c r="L112" s="12"/>
      <c r="M112" s="17"/>
    </row>
    <row r="113" spans="12:13">
      <c r="L113" s="12"/>
      <c r="M113" s="17"/>
    </row>
    <row r="114" spans="12:13">
      <c r="L114" s="12"/>
      <c r="M114" s="17"/>
    </row>
    <row r="115" spans="12:13">
      <c r="L115" s="12"/>
      <c r="M115" s="17"/>
    </row>
    <row r="116" spans="12:13">
      <c r="L116" s="12"/>
      <c r="M116" s="17"/>
    </row>
    <row r="117" spans="12:13">
      <c r="L117" s="12"/>
      <c r="M117" s="17"/>
    </row>
    <row r="118" spans="12:13">
      <c r="L118" s="12"/>
      <c r="M118" s="17"/>
    </row>
    <row r="119" spans="12:13">
      <c r="L119" s="12"/>
      <c r="M119" s="17"/>
    </row>
    <row r="120" spans="12:13">
      <c r="L120" s="12"/>
      <c r="M120" s="17"/>
    </row>
    <row r="121" spans="12:13">
      <c r="L121" s="12"/>
      <c r="M121" s="17"/>
    </row>
    <row r="122" spans="12:13">
      <c r="L122" s="12"/>
      <c r="M122" s="17"/>
    </row>
    <row r="123" spans="12:13">
      <c r="L123" s="12"/>
      <c r="M123" s="17"/>
    </row>
    <row r="124" spans="12:13">
      <c r="L124" s="12"/>
      <c r="M124" s="17"/>
    </row>
    <row r="125" spans="12:13">
      <c r="L125" s="12"/>
      <c r="M125" s="17"/>
    </row>
    <row r="126" spans="12:13">
      <c r="L126" s="12"/>
      <c r="M126" s="17"/>
    </row>
    <row r="127" spans="12:13">
      <c r="L127" s="12"/>
      <c r="M127" s="17"/>
    </row>
    <row r="128" spans="12:13">
      <c r="L128" s="12"/>
      <c r="M128" s="17"/>
    </row>
    <row r="129" spans="12:13">
      <c r="L129" s="12"/>
      <c r="M129" s="17"/>
    </row>
    <row r="130" spans="12:13">
      <c r="L130" s="12"/>
      <c r="M130" s="17"/>
    </row>
    <row r="131" spans="12:13">
      <c r="L131" s="12"/>
      <c r="M131" s="17"/>
    </row>
    <row r="132" spans="12:13">
      <c r="L132" s="12"/>
      <c r="M132" s="17"/>
    </row>
    <row r="133" spans="12:13">
      <c r="L133" s="12"/>
      <c r="M133" s="17"/>
    </row>
    <row r="134" spans="12:13">
      <c r="L134" s="12"/>
      <c r="M134" s="17"/>
    </row>
    <row r="135" spans="12:13">
      <c r="L135" s="12"/>
      <c r="M135" s="17"/>
    </row>
    <row r="136" spans="12:13">
      <c r="L136" s="12"/>
      <c r="M136" s="17"/>
    </row>
    <row r="137" spans="12:13">
      <c r="L137" s="12"/>
      <c r="M137" s="17"/>
    </row>
    <row r="138" spans="12:13">
      <c r="L138" s="12"/>
      <c r="M138" s="17"/>
    </row>
    <row r="187" spans="9:9">
      <c r="I187" t="s">
        <v>219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C3B8F-A9EA-472C-9064-16DD67AD4C0F}">
  <sheetPr codeName="Sheet4"/>
  <dimension ref="A1:AD179"/>
  <sheetViews>
    <sheetView workbookViewId="0">
      <selection activeCell="K39" sqref="K39"/>
    </sheetView>
  </sheetViews>
  <sheetFormatPr defaultRowHeight="15"/>
  <cols>
    <col min="1" max="1" width="19.85546875" customWidth="1"/>
    <col min="2" max="2" width="15.7109375" hidden="1" customWidth="1"/>
    <col min="3" max="3" width="9.140625" hidden="1" customWidth="1"/>
    <col min="4" max="4" width="11.42578125" bestFit="1" customWidth="1"/>
    <col min="5" max="6" width="0" hidden="1" customWidth="1"/>
    <col min="7" max="10" width="9.140625" hidden="1" customWidth="1"/>
    <col min="12" max="12" width="29" customWidth="1"/>
    <col min="13" max="13" width="26.5703125" customWidth="1"/>
  </cols>
  <sheetData>
    <row r="1" spans="1:3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</row>
    <row r="2" spans="1:30" ht="2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10" t="s">
        <v>218</v>
      </c>
      <c r="M2" s="10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</row>
    <row r="5" spans="1:30" ht="15.75" thickBot="1">
      <c r="A5" s="11"/>
    </row>
    <row r="6" spans="1:30" ht="15.75" thickBot="1">
      <c r="A6" s="14" t="s">
        <v>217</v>
      </c>
      <c r="G6" t="s">
        <v>207</v>
      </c>
      <c r="H6" t="s">
        <v>211</v>
      </c>
      <c r="I6" t="s">
        <v>212</v>
      </c>
      <c r="J6" t="s">
        <v>208</v>
      </c>
      <c r="L6" s="12"/>
      <c r="M6" s="12"/>
      <c r="N6" s="12"/>
      <c r="O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</row>
    <row r="7" spans="1:30" ht="19.5" customHeight="1">
      <c r="A7" s="15" t="s">
        <v>213</v>
      </c>
      <c r="B7" s="1" t="str" cm="1">
        <f t="array" ref="B7">splitcaps(A7)</f>
        <v>Carly Rey Mc Intosh</v>
      </c>
      <c r="C7" s="1" cm="1">
        <f t="array" aca="1" ref="C7" ca="1">SUMPRODUCT(LEN(B7)-LEN(SUBSTITUTE(B7,CHAR(ROW(INDIRECT("65:90"))),"")))</f>
        <v>4</v>
      </c>
      <c r="D7" s="16">
        <v>139662397</v>
      </c>
      <c r="G7" t="str">
        <f>LEFT(B7,FIND(" ",B7)-1)</f>
        <v>Carly</v>
      </c>
      <c r="H7" t="str">
        <f ca="1">IF(C7&gt;2,TRIM(MID(SUBSTITUTE(B7," ",REPT(" ", 100)),100,100)),"")</f>
        <v>Rey</v>
      </c>
      <c r="I7" t="str">
        <f ca="1">IF(C7&gt;3,TRIM(MID(SUBSTITUTE(B7," ",REPT(" ", 100)),200,100)),"")</f>
        <v>Mc</v>
      </c>
      <c r="J7" t="str">
        <f>_xlfn.TEXTAFTER(B7, " ", -1)</f>
        <v>Intosh</v>
      </c>
      <c r="L7" s="12"/>
      <c r="M7" s="12"/>
      <c r="N7" s="12"/>
      <c r="O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</row>
    <row r="8" spans="1:30">
      <c r="A8" s="15" t="s">
        <v>214</v>
      </c>
      <c r="B8" s="1" t="str" cm="1">
        <f t="array" ref="B8">splitcaps(A8)</f>
        <v>Mc Intosh Carly</v>
      </c>
      <c r="C8" s="1" cm="1">
        <f t="array" aca="1" ref="C8" ca="1">SUMPRODUCT(LEN(B8)-LEN(SUBSTITUTE(B8,CHAR(ROW(INDIRECT("65:90"))),"")))</f>
        <v>3</v>
      </c>
      <c r="D8" s="16">
        <v>139662398</v>
      </c>
      <c r="G8" t="str">
        <f t="shared" ref="G8:G18" si="0">LEFT(B8,FIND(" ",B8)-1)</f>
        <v>Mc</v>
      </c>
      <c r="H8" t="str">
        <f t="shared" ref="H8:H18" ca="1" si="1">IF(C8&gt;2,TRIM(MID(SUBSTITUTE(B8," ",REPT(" ", 100)),100,100)),"")</f>
        <v>Intosh</v>
      </c>
      <c r="I8" t="str">
        <f t="shared" ref="I8:I18" ca="1" si="2">IF(C8&gt;3,TRIM(MID(SUBSTITUTE(B8," ",REPT(" ", 100)),200,100)),"")</f>
        <v/>
      </c>
      <c r="J8" t="str">
        <f t="shared" ref="J8:J18" si="3">_xlfn.TEXTAFTER(B8, " ", -1)</f>
        <v>Carly</v>
      </c>
      <c r="L8" s="12"/>
      <c r="M8" s="12"/>
      <c r="N8" s="12"/>
      <c r="O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</row>
    <row r="9" spans="1:30">
      <c r="A9" s="15" t="s">
        <v>210</v>
      </c>
      <c r="B9" s="1" t="str" cm="1">
        <f t="array" ref="B9">splitcaps(A9)</f>
        <v>Clark Kristian</v>
      </c>
      <c r="C9" s="1" cm="1">
        <f t="array" aca="1" ref="C9" ca="1">SUMPRODUCT(LEN(B9)-LEN(SUBSTITUTE(B9,CHAR(ROW(INDIRECT("65:90"))),"")))</f>
        <v>2</v>
      </c>
      <c r="D9" s="16">
        <v>702571567</v>
      </c>
      <c r="G9" t="str">
        <f t="shared" si="0"/>
        <v>Clark</v>
      </c>
      <c r="H9" t="str">
        <f t="shared" ca="1" si="1"/>
        <v/>
      </c>
      <c r="I9" t="str">
        <f t="shared" ca="1" si="2"/>
        <v/>
      </c>
      <c r="J9" t="str">
        <f t="shared" si="3"/>
        <v>Kristian</v>
      </c>
      <c r="L9" s="12"/>
      <c r="M9" s="12"/>
      <c r="N9" s="12"/>
      <c r="O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</row>
    <row r="10" spans="1:30">
      <c r="A10" s="15" t="s">
        <v>18</v>
      </c>
      <c r="B10" s="1" t="str" cm="1">
        <f t="array" ref="B10">splitcaps(A10)</f>
        <v>Hailey Navarro</v>
      </c>
      <c r="C10" s="1" cm="1">
        <f t="array" aca="1" ref="C10" ca="1">SUMPRODUCT(LEN(B10)-LEN(SUBSTITUTE(B10,CHAR(ROW(INDIRECT("65:90"))),"")))</f>
        <v>2</v>
      </c>
      <c r="D10" s="16">
        <v>275493805</v>
      </c>
      <c r="G10" t="str">
        <f t="shared" si="0"/>
        <v>Hailey</v>
      </c>
      <c r="H10" t="str">
        <f t="shared" ca="1" si="1"/>
        <v/>
      </c>
      <c r="I10" t="str">
        <f t="shared" ca="1" si="2"/>
        <v/>
      </c>
      <c r="J10" t="str">
        <f t="shared" si="3"/>
        <v>Navarro</v>
      </c>
      <c r="L10" s="12"/>
      <c r="M10" s="12" t="s">
        <v>220</v>
      </c>
      <c r="N10" s="12"/>
      <c r="O10" s="12"/>
      <c r="Q10" s="12"/>
      <c r="R10" s="12"/>
      <c r="S10" s="12"/>
      <c r="T10" s="12"/>
      <c r="U10" s="12"/>
      <c r="V10" s="12"/>
      <c r="W10" s="12" t="s">
        <v>221</v>
      </c>
      <c r="X10" s="12"/>
      <c r="Y10" s="12"/>
      <c r="Z10" s="12"/>
      <c r="AA10" s="12"/>
      <c r="AB10" s="12"/>
      <c r="AC10" s="12"/>
    </row>
    <row r="11" spans="1:30">
      <c r="A11" s="15" t="s">
        <v>19</v>
      </c>
      <c r="B11" s="1" t="str" cm="1">
        <f t="array" ref="B11">splitcaps(A11)</f>
        <v>Reid Tang</v>
      </c>
      <c r="C11" s="1" cm="1">
        <f t="array" aca="1" ref="C11" ca="1">SUMPRODUCT(LEN(B11)-LEN(SUBSTITUTE(B11,CHAR(ROW(INDIRECT("65:90"))),"")))</f>
        <v>2</v>
      </c>
      <c r="D11" s="16">
        <v>104983696</v>
      </c>
      <c r="G11" t="str">
        <f t="shared" si="0"/>
        <v>Reid</v>
      </c>
      <c r="H11" t="str">
        <f t="shared" ca="1" si="1"/>
        <v/>
      </c>
      <c r="I11" t="str">
        <f t="shared" ca="1" si="2"/>
        <v/>
      </c>
      <c r="J11" t="str">
        <f t="shared" si="3"/>
        <v>Tang</v>
      </c>
      <c r="L11" s="12"/>
      <c r="M11" s="12"/>
      <c r="N11" s="12"/>
      <c r="O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</row>
    <row r="12" spans="1:30">
      <c r="A12" s="15" t="s">
        <v>20</v>
      </c>
      <c r="B12" s="1" t="str" cm="1">
        <f t="array" ref="B12">splitcaps(A12)</f>
        <v>Belle Cline</v>
      </c>
      <c r="C12" s="1" cm="1">
        <f t="array" aca="1" ref="C12" ca="1">SUMPRODUCT(LEN(B12)-LEN(SUBSTITUTE(B12,CHAR(ROW(INDIRECT("65:90"))),"")))</f>
        <v>2</v>
      </c>
      <c r="D12" s="16">
        <v>837561915</v>
      </c>
      <c r="G12" t="str">
        <f t="shared" si="0"/>
        <v>Belle</v>
      </c>
      <c r="H12" t="str">
        <f t="shared" ca="1" si="1"/>
        <v/>
      </c>
      <c r="I12" t="str">
        <f t="shared" ca="1" si="2"/>
        <v/>
      </c>
      <c r="J12" t="str">
        <f t="shared" si="3"/>
        <v>Cline</v>
      </c>
      <c r="L12" s="12"/>
      <c r="M12" s="12"/>
      <c r="N12" s="12"/>
      <c r="O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</row>
    <row r="13" spans="1:30" ht="18.75" customHeight="1">
      <c r="A13" s="15" t="s">
        <v>21</v>
      </c>
      <c r="B13" s="1" t="str" cm="1">
        <f t="array" ref="B13">splitcaps(A13)</f>
        <v>Cullen Contreras</v>
      </c>
      <c r="C13" s="1" cm="1">
        <f t="array" aca="1" ref="C13" ca="1">SUMPRODUCT(LEN(B13)-LEN(SUBSTITUTE(B13,CHAR(ROW(INDIRECT("65:90"))),"")))</f>
        <v>2</v>
      </c>
      <c r="D13" s="16">
        <v>661802306</v>
      </c>
      <c r="G13" t="str">
        <f t="shared" si="0"/>
        <v>Cullen</v>
      </c>
      <c r="H13" t="str">
        <f t="shared" ca="1" si="1"/>
        <v/>
      </c>
      <c r="I13" t="str">
        <f t="shared" ca="1" si="2"/>
        <v/>
      </c>
      <c r="J13" t="str">
        <f t="shared" si="3"/>
        <v>Contreras</v>
      </c>
      <c r="L13" s="12"/>
      <c r="M13" s="12"/>
      <c r="N13" s="12"/>
      <c r="O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</row>
    <row r="14" spans="1:30">
      <c r="A14" s="15" t="s">
        <v>22</v>
      </c>
      <c r="B14" s="1" t="str" cm="1">
        <f t="array" ref="B14">splitcaps(A14)</f>
        <v>Daniela Morrow</v>
      </c>
      <c r="C14" s="1" cm="1">
        <f t="array" aca="1" ref="C14" ca="1">SUMPRODUCT(LEN(B14)-LEN(SUBSTITUTE(B14,CHAR(ROW(INDIRECT("65:90"))),"")))</f>
        <v>2</v>
      </c>
      <c r="D14" s="16">
        <v>104983696</v>
      </c>
      <c r="G14" t="str">
        <f t="shared" si="0"/>
        <v>Daniela</v>
      </c>
      <c r="H14" t="str">
        <f t="shared" ca="1" si="1"/>
        <v/>
      </c>
      <c r="I14" t="str">
        <f t="shared" ca="1" si="2"/>
        <v/>
      </c>
      <c r="J14" t="str">
        <f t="shared" si="3"/>
        <v>Morrow</v>
      </c>
      <c r="L14" s="12"/>
      <c r="M14" s="12"/>
      <c r="N14" s="12"/>
      <c r="O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</row>
    <row r="15" spans="1:30">
      <c r="A15" s="15" t="s">
        <v>23</v>
      </c>
      <c r="B15" s="1" t="str" cm="1">
        <f t="array" ref="B15">splitcaps(A15)</f>
        <v>Kyree Kirby</v>
      </c>
      <c r="C15" s="1" cm="1">
        <f t="array" aca="1" ref="C15" ca="1">SUMPRODUCT(LEN(B15)-LEN(SUBSTITUTE(B15,CHAR(ROW(INDIRECT("65:90"))),"")))</f>
        <v>2</v>
      </c>
      <c r="D15" s="16">
        <v>827561915</v>
      </c>
      <c r="G15" t="str">
        <f t="shared" si="0"/>
        <v>Kyree</v>
      </c>
      <c r="H15" t="str">
        <f t="shared" ca="1" si="1"/>
        <v/>
      </c>
      <c r="I15" t="str">
        <f t="shared" ca="1" si="2"/>
        <v/>
      </c>
      <c r="J15" t="str">
        <f t="shared" si="3"/>
        <v>Kirby</v>
      </c>
      <c r="L15" s="12"/>
      <c r="M15" s="12"/>
      <c r="N15" s="12"/>
      <c r="O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</row>
    <row r="16" spans="1:30">
      <c r="A16" s="15" t="s">
        <v>24</v>
      </c>
      <c r="B16" s="1" t="str" cm="1">
        <f t="array" ref="B16">splitcaps(A16)</f>
        <v>Skyla Miller</v>
      </c>
      <c r="C16" s="1" cm="1">
        <f t="array" aca="1" ref="C16" ca="1">SUMPRODUCT(LEN(B16)-LEN(SUBSTITUTE(B16,CHAR(ROW(INDIRECT("65:90"))),"")))</f>
        <v>2</v>
      </c>
      <c r="D16" s="16">
        <v>661802306</v>
      </c>
      <c r="G16" t="str">
        <f t="shared" si="0"/>
        <v>Skyla</v>
      </c>
      <c r="H16" t="str">
        <f t="shared" ca="1" si="1"/>
        <v/>
      </c>
      <c r="I16" t="str">
        <f t="shared" ca="1" si="2"/>
        <v/>
      </c>
      <c r="J16" t="str">
        <f t="shared" si="3"/>
        <v>Miller</v>
      </c>
      <c r="L16" s="12"/>
      <c r="M16" s="12"/>
      <c r="N16" s="12"/>
      <c r="O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</row>
    <row r="17" spans="1:29">
      <c r="A17" s="15" t="s">
        <v>215</v>
      </c>
      <c r="B17" s="1" t="str" cm="1">
        <f t="array" ref="B17">splitcaps(A17)</f>
        <v>Reid Nar Tang</v>
      </c>
      <c r="C17" s="1" cm="1">
        <f t="array" aca="1" ref="C17" ca="1">SUMPRODUCT(LEN(B17)-LEN(SUBSTITUTE(B17,CHAR(ROW(INDIRECT("65:90"))),"")))</f>
        <v>3</v>
      </c>
      <c r="D17" s="16">
        <v>104983697</v>
      </c>
      <c r="G17" t="str">
        <f t="shared" si="0"/>
        <v>Reid</v>
      </c>
      <c r="H17" t="str">
        <f t="shared" ca="1" si="1"/>
        <v>Nar</v>
      </c>
      <c r="I17" t="str">
        <f t="shared" ca="1" si="2"/>
        <v/>
      </c>
      <c r="J17" t="str">
        <f t="shared" si="3"/>
        <v>Tang</v>
      </c>
      <c r="L17" s="12"/>
      <c r="M17" s="12"/>
      <c r="N17" s="12"/>
      <c r="O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</row>
    <row r="18" spans="1:29">
      <c r="A18" s="15" t="s">
        <v>216</v>
      </c>
      <c r="B18" s="1" t="str" cm="1">
        <f t="array" ref="B18">splitcaps(A18)</f>
        <v>Cline Belle</v>
      </c>
      <c r="C18" s="1" cm="1">
        <f t="array" aca="1" ref="C18" ca="1">SUMPRODUCT(LEN(B18)-LEN(SUBSTITUTE(B18,CHAR(ROW(INDIRECT("65:90"))),"")))</f>
        <v>2</v>
      </c>
      <c r="D18" s="16">
        <v>827561951</v>
      </c>
      <c r="G18" t="str">
        <f t="shared" si="0"/>
        <v>Cline</v>
      </c>
      <c r="H18" t="str">
        <f t="shared" ca="1" si="1"/>
        <v/>
      </c>
      <c r="I18" t="str">
        <f t="shared" ca="1" si="2"/>
        <v/>
      </c>
      <c r="J18" t="str">
        <f t="shared" si="3"/>
        <v>Belle</v>
      </c>
      <c r="L18" s="12"/>
      <c r="M18" s="12"/>
      <c r="N18" s="12"/>
      <c r="O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</row>
    <row r="19" spans="1:29">
      <c r="A19" s="15" t="s">
        <v>18</v>
      </c>
      <c r="B19" s="1" t="str" cm="1">
        <f t="array" ref="B19">splitcaps(A19)</f>
        <v>Hailey Navarro</v>
      </c>
      <c r="C19" s="1" cm="1">
        <f t="array" aca="1" ref="C19" ca="1">SUMPRODUCT(LEN(B19)-LEN(SUBSTITUTE(B19,CHAR(ROW(INDIRECT("65:90"))),"")))</f>
        <v>2</v>
      </c>
      <c r="D19" s="16">
        <v>275493850</v>
      </c>
      <c r="G19" t="str">
        <f t="shared" ref="G19:G45" si="4">LEFT(B19,FIND(" ",B19)-1)</f>
        <v>Hailey</v>
      </c>
      <c r="H19" t="str">
        <f t="shared" ref="H19:H45" ca="1" si="5">IF(C19&gt;2,TRIM(MID(SUBSTITUTE(B19," ",REPT(" ", 100)),100,100)),"")</f>
        <v/>
      </c>
      <c r="I19" t="str">
        <f t="shared" ref="I19:I45" ca="1" si="6">IF(C19&gt;3,TRIM(MID(SUBSTITUTE(B19," ",REPT(" ", 100)),200,100)),"")</f>
        <v/>
      </c>
      <c r="J19" t="str">
        <f t="shared" ref="J19:J45" si="7">_xlfn.TEXTAFTER(B19, " ", -1)</f>
        <v>Navarro</v>
      </c>
      <c r="L19" s="12"/>
      <c r="M19" s="12"/>
      <c r="N19" s="12"/>
      <c r="O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</row>
    <row r="20" spans="1:29">
      <c r="A20" s="15" t="s">
        <v>26</v>
      </c>
      <c r="B20" s="1" t="str" cm="1">
        <f t="array" ref="B20">splitcaps(A20)</f>
        <v>Kallie Oliver</v>
      </c>
      <c r="C20" s="1" cm="1">
        <f t="array" aca="1" ref="C20" ca="1">SUMPRODUCT(LEN(B20)-LEN(SUBSTITUTE(B20,CHAR(ROW(INDIRECT("65:90"))),"")))</f>
        <v>2</v>
      </c>
      <c r="D20" s="13">
        <v>424099939</v>
      </c>
      <c r="G20" t="str">
        <f t="shared" si="4"/>
        <v>Kallie</v>
      </c>
      <c r="H20" t="str">
        <f t="shared" ca="1" si="5"/>
        <v/>
      </c>
      <c r="I20" t="str">
        <f t="shared" ca="1" si="6"/>
        <v/>
      </c>
      <c r="J20" t="str">
        <f t="shared" si="7"/>
        <v>Oliver</v>
      </c>
      <c r="L20" s="12"/>
      <c r="M20" s="12"/>
      <c r="N20" s="12"/>
      <c r="O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</row>
    <row r="21" spans="1:29">
      <c r="A21" s="15" t="s">
        <v>27</v>
      </c>
      <c r="B21" s="1" t="str" cm="1">
        <f t="array" ref="B21">splitcaps(A21)</f>
        <v>Karson Shepard</v>
      </c>
      <c r="C21" s="1" cm="1">
        <f t="array" aca="1" ref="C21" ca="1">SUMPRODUCT(LEN(B21)-LEN(SUBSTITUTE(B21,CHAR(ROW(INDIRECT("65:90"))),"")))</f>
        <v>2</v>
      </c>
      <c r="D21" s="13">
        <v>930336809</v>
      </c>
      <c r="G21" t="str">
        <f t="shared" si="4"/>
        <v>Karson</v>
      </c>
      <c r="H21" t="str">
        <f t="shared" ca="1" si="5"/>
        <v/>
      </c>
      <c r="I21" t="str">
        <f t="shared" ca="1" si="6"/>
        <v/>
      </c>
      <c r="J21" t="str">
        <f t="shared" si="7"/>
        <v>Shepard</v>
      </c>
      <c r="L21" s="12"/>
      <c r="M21" s="12"/>
      <c r="N21" s="12"/>
      <c r="O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</row>
    <row r="22" spans="1:29" ht="14.25" customHeight="1">
      <c r="A22" s="15" t="s">
        <v>28</v>
      </c>
      <c r="B22" s="1" t="str" cm="1">
        <f t="array" ref="B22">splitcaps(A22)</f>
        <v>Noor Carrillo</v>
      </c>
      <c r="C22" s="1" cm="1">
        <f t="array" aca="1" ref="C22" ca="1">SUMPRODUCT(LEN(B22)-LEN(SUBSTITUTE(B22,CHAR(ROW(INDIRECT("65:90"))),"")))</f>
        <v>2</v>
      </c>
      <c r="D22" s="13">
        <v>751252552</v>
      </c>
      <c r="G22" t="str">
        <f t="shared" si="4"/>
        <v>Noor</v>
      </c>
      <c r="H22" t="str">
        <f t="shared" ca="1" si="5"/>
        <v/>
      </c>
      <c r="I22" t="str">
        <f t="shared" ca="1" si="6"/>
        <v/>
      </c>
      <c r="J22" t="str">
        <f t="shared" si="7"/>
        <v>Carrillo</v>
      </c>
      <c r="L22" s="12"/>
      <c r="M22" s="12"/>
      <c r="N22" s="12"/>
      <c r="O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</row>
    <row r="23" spans="1:29" ht="14.25" customHeight="1">
      <c r="A23" s="1" t="s">
        <v>29</v>
      </c>
      <c r="B23" s="1" t="str" cm="1">
        <f t="array" ref="B23">splitcaps(A23)</f>
        <v>Wade Stanley</v>
      </c>
      <c r="C23" s="1" cm="1">
        <f t="array" aca="1" ref="C23" ca="1">SUMPRODUCT(LEN(B23)-LEN(SUBSTITUTE(B23,CHAR(ROW(INDIRECT("65:90"))),"")))</f>
        <v>2</v>
      </c>
      <c r="D23" s="13">
        <v>449889311</v>
      </c>
      <c r="G23" t="str">
        <f t="shared" si="4"/>
        <v>Wade</v>
      </c>
      <c r="H23" t="str">
        <f t="shared" ca="1" si="5"/>
        <v/>
      </c>
      <c r="I23" t="str">
        <f t="shared" ca="1" si="6"/>
        <v/>
      </c>
      <c r="J23" t="str">
        <f t="shared" si="7"/>
        <v>Stanley</v>
      </c>
      <c r="L23" s="12"/>
      <c r="M23" s="12"/>
      <c r="N23" s="12"/>
      <c r="O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</row>
    <row r="24" spans="1:29" ht="14.25" customHeight="1">
      <c r="A24" s="1" t="s">
        <v>30</v>
      </c>
      <c r="B24" s="1" t="str" cm="1">
        <f t="array" ref="B24">splitcaps(A24)</f>
        <v>Gracelyn Nelson</v>
      </c>
      <c r="C24" s="1" cm="1">
        <f t="array" aca="1" ref="C24" ca="1">SUMPRODUCT(LEN(B24)-LEN(SUBSTITUTE(B24,CHAR(ROW(INDIRECT("65:90"))),"")))</f>
        <v>2</v>
      </c>
      <c r="D24" s="13">
        <v>757547383</v>
      </c>
      <c r="G24" t="str">
        <f t="shared" si="4"/>
        <v>Gracelyn</v>
      </c>
      <c r="H24" t="str">
        <f t="shared" ca="1" si="5"/>
        <v/>
      </c>
      <c r="I24" t="str">
        <f t="shared" ca="1" si="6"/>
        <v/>
      </c>
      <c r="J24" t="str">
        <f t="shared" si="7"/>
        <v>Nelson</v>
      </c>
      <c r="L24" s="12"/>
      <c r="M24" s="12"/>
      <c r="N24" s="12"/>
      <c r="O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</row>
    <row r="25" spans="1:29" ht="14.25" customHeight="1">
      <c r="A25" s="1" t="s">
        <v>31</v>
      </c>
      <c r="B25" s="1" t="str" cm="1">
        <f t="array" ref="B25">splitcaps(A25)</f>
        <v>Dylan Rollins</v>
      </c>
      <c r="C25" s="1" cm="1">
        <f t="array" aca="1" ref="C25" ca="1">SUMPRODUCT(LEN(B25)-LEN(SUBSTITUTE(B25,CHAR(ROW(INDIRECT("65:90"))),"")))</f>
        <v>2</v>
      </c>
      <c r="D25" s="13">
        <v>933823154</v>
      </c>
      <c r="G25" t="str">
        <f t="shared" si="4"/>
        <v>Dylan</v>
      </c>
      <c r="H25" t="str">
        <f t="shared" ca="1" si="5"/>
        <v/>
      </c>
      <c r="I25" t="str">
        <f t="shared" ca="1" si="6"/>
        <v/>
      </c>
      <c r="J25" t="str">
        <f t="shared" si="7"/>
        <v>Rollins</v>
      </c>
      <c r="L25" s="12"/>
      <c r="M25" s="12"/>
      <c r="N25" s="12"/>
      <c r="O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</row>
    <row r="26" spans="1:29" ht="14.25" customHeight="1">
      <c r="A26" s="1" t="s">
        <v>32</v>
      </c>
      <c r="B26" s="1" t="str" cm="1">
        <f t="array" ref="B26">splitcaps(A26)</f>
        <v>Araceli Mc Intyre</v>
      </c>
      <c r="C26" s="1" cm="1">
        <f t="array" aca="1" ref="C26" ca="1">SUMPRODUCT(LEN(B26)-LEN(SUBSTITUTE(B26,CHAR(ROW(INDIRECT("65:90"))),"")))</f>
        <v>3</v>
      </c>
      <c r="D26" s="13">
        <v>138053153</v>
      </c>
      <c r="G26" t="str">
        <f t="shared" si="4"/>
        <v>Araceli</v>
      </c>
      <c r="H26" t="str">
        <f t="shared" ca="1" si="5"/>
        <v>Mc</v>
      </c>
      <c r="I26" t="str">
        <f t="shared" ca="1" si="6"/>
        <v/>
      </c>
      <c r="J26" t="str">
        <f t="shared" si="7"/>
        <v>Intyre</v>
      </c>
      <c r="L26" s="12"/>
      <c r="M26" s="12"/>
      <c r="N26" s="12"/>
      <c r="O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</row>
    <row r="27" spans="1:29" ht="14.25" customHeight="1">
      <c r="A27" s="1" t="s">
        <v>33</v>
      </c>
      <c r="B27" s="1" t="str" cm="1">
        <f t="array" ref="B27">splitcaps(A27)</f>
        <v>Eliseo Gates</v>
      </c>
      <c r="C27" s="1" cm="1">
        <f t="array" aca="1" ref="C27" ca="1">SUMPRODUCT(LEN(B27)-LEN(SUBSTITUTE(B27,CHAR(ROW(INDIRECT("65:90"))),"")))</f>
        <v>2</v>
      </c>
      <c r="D27" s="13">
        <v>874629962</v>
      </c>
      <c r="G27" t="str">
        <f t="shared" si="4"/>
        <v>Eliseo</v>
      </c>
      <c r="H27" t="str">
        <f t="shared" ca="1" si="5"/>
        <v/>
      </c>
      <c r="I27" t="str">
        <f t="shared" ca="1" si="6"/>
        <v/>
      </c>
      <c r="J27" t="str">
        <f t="shared" si="7"/>
        <v>Gates</v>
      </c>
      <c r="L27" s="12"/>
      <c r="M27" s="12"/>
      <c r="N27" s="12"/>
      <c r="O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</row>
    <row r="28" spans="1:29">
      <c r="A28" s="1" t="s">
        <v>34</v>
      </c>
      <c r="B28" s="1" t="str" cm="1">
        <f t="array" ref="B28">splitcaps(A28)</f>
        <v>Melina Peters</v>
      </c>
      <c r="C28" s="1" cm="1">
        <f t="array" aca="1" ref="C28" ca="1">SUMPRODUCT(LEN(B28)-LEN(SUBSTITUTE(B28,CHAR(ROW(INDIRECT("65:90"))),"")))</f>
        <v>2</v>
      </c>
      <c r="D28" s="13">
        <v>809455888</v>
      </c>
      <c r="G28" t="str">
        <f t="shared" si="4"/>
        <v>Melina</v>
      </c>
      <c r="H28" t="str">
        <f t="shared" ca="1" si="5"/>
        <v/>
      </c>
      <c r="I28" t="str">
        <f t="shared" ca="1" si="6"/>
        <v/>
      </c>
      <c r="J28" t="str">
        <f t="shared" si="7"/>
        <v>Peters</v>
      </c>
      <c r="L28" s="12"/>
      <c r="M28" s="12"/>
      <c r="N28" s="12"/>
      <c r="O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</row>
    <row r="29" spans="1:29">
      <c r="A29" s="1" t="s">
        <v>35</v>
      </c>
      <c r="B29" s="1" t="str" cm="1">
        <f t="array" ref="B29">splitcaps(A29)</f>
        <v>Patrick Marsh</v>
      </c>
      <c r="C29" s="1" cm="1">
        <f t="array" aca="1" ref="C29" ca="1">SUMPRODUCT(LEN(B29)-LEN(SUBSTITUTE(B29,CHAR(ROW(INDIRECT("65:90"))),"")))</f>
        <v>2</v>
      </c>
      <c r="D29" s="13">
        <v>947106292</v>
      </c>
      <c r="G29" t="str">
        <f t="shared" si="4"/>
        <v>Patrick</v>
      </c>
      <c r="H29" t="str">
        <f t="shared" ca="1" si="5"/>
        <v/>
      </c>
      <c r="I29" t="str">
        <f t="shared" ca="1" si="6"/>
        <v/>
      </c>
      <c r="J29" t="str">
        <f t="shared" si="7"/>
        <v>Marsh</v>
      </c>
      <c r="L29" s="12"/>
      <c r="M29" s="12"/>
      <c r="N29" s="12"/>
      <c r="O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</row>
    <row r="30" spans="1:29">
      <c r="A30" s="1" t="s">
        <v>36</v>
      </c>
      <c r="B30" s="1" t="str" cm="1">
        <f t="array" ref="B30">splitcaps(A30)</f>
        <v>Adelina Tapia</v>
      </c>
      <c r="C30" s="1" cm="1">
        <f t="array" aca="1" ref="C30" ca="1">SUMPRODUCT(LEN(B30)-LEN(SUBSTITUTE(B30,CHAR(ROW(INDIRECT("65:90"))),"")))</f>
        <v>2</v>
      </c>
      <c r="D30" s="13">
        <v>287079256</v>
      </c>
      <c r="G30" t="str">
        <f t="shared" si="4"/>
        <v>Adelina</v>
      </c>
      <c r="H30" t="str">
        <f t="shared" ca="1" si="5"/>
        <v/>
      </c>
      <c r="I30" t="str">
        <f t="shared" ca="1" si="6"/>
        <v/>
      </c>
      <c r="J30" t="str">
        <f t="shared" si="7"/>
        <v>Tapia</v>
      </c>
      <c r="L30" s="12"/>
      <c r="M30" s="12"/>
      <c r="N30" s="12"/>
      <c r="O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</row>
    <row r="31" spans="1:29">
      <c r="A31" s="1" t="s">
        <v>37</v>
      </c>
      <c r="B31" s="1" t="str" cm="1">
        <f t="array" ref="B31">splitcaps(A31)</f>
        <v>Samir Rangel</v>
      </c>
      <c r="C31" s="1" cm="1">
        <f t="array" aca="1" ref="C31" ca="1">SUMPRODUCT(LEN(B31)-LEN(SUBSTITUTE(B31,CHAR(ROW(INDIRECT("65:90"))),"")))</f>
        <v>2</v>
      </c>
      <c r="D31" s="13">
        <v>246619038</v>
      </c>
      <c r="G31" t="str">
        <f t="shared" si="4"/>
        <v>Samir</v>
      </c>
      <c r="H31" t="str">
        <f t="shared" ca="1" si="5"/>
        <v/>
      </c>
      <c r="I31" t="str">
        <f t="shared" ca="1" si="6"/>
        <v/>
      </c>
      <c r="J31" t="str">
        <f t="shared" si="7"/>
        <v>Rangel</v>
      </c>
      <c r="L31" s="12"/>
      <c r="M31" s="12"/>
      <c r="N31" s="12"/>
      <c r="O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</row>
    <row r="32" spans="1:29">
      <c r="A32" s="1" t="s">
        <v>38</v>
      </c>
      <c r="B32" s="1" t="str" cm="1">
        <f t="array" ref="B32">splitcaps(A32)</f>
        <v>Gloria Frederick</v>
      </c>
      <c r="C32" s="1" cm="1">
        <f t="array" aca="1" ref="C32" ca="1">SUMPRODUCT(LEN(B32)-LEN(SUBSTITUTE(B32,CHAR(ROW(INDIRECT("65:90"))),"")))</f>
        <v>2</v>
      </c>
      <c r="D32" s="13">
        <v>546890201</v>
      </c>
      <c r="G32" t="str">
        <f t="shared" si="4"/>
        <v>Gloria</v>
      </c>
      <c r="H32" t="str">
        <f t="shared" ca="1" si="5"/>
        <v/>
      </c>
      <c r="I32" t="str">
        <f t="shared" ca="1" si="6"/>
        <v/>
      </c>
      <c r="J32" t="str">
        <f t="shared" si="7"/>
        <v>Frederick</v>
      </c>
      <c r="L32" s="12"/>
      <c r="M32" s="12"/>
      <c r="N32" s="12"/>
      <c r="O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</row>
    <row r="33" spans="1:29">
      <c r="A33" s="1" t="s">
        <v>39</v>
      </c>
      <c r="B33" s="1" t="str" cm="1">
        <f t="array" ref="B33">splitcaps(A33)</f>
        <v>Kase Lindsey</v>
      </c>
      <c r="C33" s="1" cm="1">
        <f t="array" aca="1" ref="C33" ca="1">SUMPRODUCT(LEN(B33)-LEN(SUBSTITUTE(B33,CHAR(ROW(INDIRECT("65:90"))),"")))</f>
        <v>2</v>
      </c>
      <c r="D33" s="13">
        <v>727808036</v>
      </c>
      <c r="G33" t="str">
        <f t="shared" si="4"/>
        <v>Kase</v>
      </c>
      <c r="H33" t="str">
        <f t="shared" ca="1" si="5"/>
        <v/>
      </c>
      <c r="I33" t="str">
        <f t="shared" ca="1" si="6"/>
        <v/>
      </c>
      <c r="J33" t="str">
        <f t="shared" si="7"/>
        <v>Lindsey</v>
      </c>
      <c r="L33" s="12"/>
      <c r="M33" s="12"/>
      <c r="N33" s="12"/>
      <c r="O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</row>
    <row r="34" spans="1:29" ht="25.5">
      <c r="A34" s="1" t="s">
        <v>40</v>
      </c>
      <c r="B34" s="1" t="str" cm="1">
        <f t="array" ref="B34">splitcaps(A34)</f>
        <v>Colette Meadows</v>
      </c>
      <c r="C34" s="1" cm="1">
        <f t="array" aca="1" ref="C34" ca="1">SUMPRODUCT(LEN(B34)-LEN(SUBSTITUTE(B34,CHAR(ROW(INDIRECT("65:90"))),"")))</f>
        <v>2</v>
      </c>
      <c r="D34" s="13">
        <v>341488038</v>
      </c>
      <c r="G34" t="str">
        <f t="shared" si="4"/>
        <v>Colette</v>
      </c>
      <c r="H34" t="str">
        <f t="shared" ca="1" si="5"/>
        <v/>
      </c>
      <c r="I34" t="str">
        <f t="shared" ca="1" si="6"/>
        <v/>
      </c>
      <c r="J34" t="str">
        <f t="shared" si="7"/>
        <v>Meadows</v>
      </c>
      <c r="L34" s="12"/>
      <c r="M34" s="12"/>
      <c r="N34" s="12"/>
      <c r="O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</row>
    <row r="35" spans="1:29">
      <c r="A35" s="1" t="s">
        <v>41</v>
      </c>
      <c r="B35" s="1" t="str" cm="1">
        <f t="array" ref="B35">splitcaps(A35)</f>
        <v>Wayne Porter</v>
      </c>
      <c r="C35" s="1" cm="1">
        <f t="array" aca="1" ref="C35" ca="1">SUMPRODUCT(LEN(B35)-LEN(SUBSTITUTE(B35,CHAR(ROW(INDIRECT("65:90"))),"")))</f>
        <v>2</v>
      </c>
      <c r="D35" s="13">
        <v>275100095</v>
      </c>
      <c r="G35" t="str">
        <f t="shared" si="4"/>
        <v>Wayne</v>
      </c>
      <c r="H35" t="str">
        <f t="shared" ca="1" si="5"/>
        <v/>
      </c>
      <c r="I35" t="str">
        <f t="shared" ca="1" si="6"/>
        <v/>
      </c>
      <c r="J35" t="str">
        <f t="shared" si="7"/>
        <v>Porter</v>
      </c>
      <c r="L35" s="12"/>
      <c r="M35" s="12"/>
      <c r="N35" s="12"/>
      <c r="O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</row>
    <row r="36" spans="1:29" ht="25.5">
      <c r="A36" s="1" t="s">
        <v>42</v>
      </c>
      <c r="B36" s="1" t="str" cm="1">
        <f t="array" ref="B36">splitcaps(A36)</f>
        <v>Ryleigh Mc Kenzie</v>
      </c>
      <c r="C36" s="1" cm="1">
        <f t="array" aca="1" ref="C36" ca="1">SUMPRODUCT(LEN(B36)-LEN(SUBSTITUTE(B36,CHAR(ROW(INDIRECT("65:90"))),"")))</f>
        <v>3</v>
      </c>
      <c r="D36" s="13">
        <v>710711188</v>
      </c>
      <c r="G36" t="str">
        <f t="shared" si="4"/>
        <v>Ryleigh</v>
      </c>
      <c r="H36" t="str">
        <f t="shared" ca="1" si="5"/>
        <v>Mc</v>
      </c>
      <c r="I36" t="str">
        <f t="shared" ca="1" si="6"/>
        <v/>
      </c>
      <c r="J36" t="str">
        <f t="shared" si="7"/>
        <v>Kenzie</v>
      </c>
      <c r="L36" s="12"/>
      <c r="M36" s="12"/>
      <c r="N36" s="12"/>
      <c r="O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</row>
    <row r="37" spans="1:29">
      <c r="A37" s="1" t="s">
        <v>43</v>
      </c>
      <c r="B37" s="1" t="str" cm="1">
        <f t="array" ref="B37">splitcaps(A37)</f>
        <v>Scott Valdez</v>
      </c>
      <c r="C37" s="1" cm="1">
        <f t="array" aca="1" ref="C37" ca="1">SUMPRODUCT(LEN(B37)-LEN(SUBSTITUTE(B37,CHAR(ROW(INDIRECT("65:90"))),"")))</f>
        <v>2</v>
      </c>
      <c r="D37" s="13">
        <v>185290844</v>
      </c>
      <c r="G37" t="str">
        <f t="shared" si="4"/>
        <v>Scott</v>
      </c>
      <c r="H37" t="str">
        <f t="shared" ca="1" si="5"/>
        <v/>
      </c>
      <c r="I37" t="str">
        <f t="shared" ca="1" si="6"/>
        <v/>
      </c>
      <c r="J37" t="str">
        <f t="shared" si="7"/>
        <v>Valdez</v>
      </c>
      <c r="L37" s="12"/>
      <c r="M37" s="12"/>
      <c r="N37" s="12"/>
      <c r="O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</row>
    <row r="38" spans="1:29">
      <c r="A38" s="1" t="s">
        <v>44</v>
      </c>
      <c r="B38" s="1" t="str" cm="1">
        <f t="array" ref="B38">splitcaps(A38)</f>
        <v>Diana Rivas</v>
      </c>
      <c r="C38" s="1" cm="1">
        <f t="array" aca="1" ref="C38" ca="1">SUMPRODUCT(LEN(B38)-LEN(SUBSTITUTE(B38,CHAR(ROW(INDIRECT("65:90"))),"")))</f>
        <v>2</v>
      </c>
      <c r="D38" s="13">
        <v>246292726</v>
      </c>
      <c r="G38" t="str">
        <f t="shared" si="4"/>
        <v>Diana</v>
      </c>
      <c r="H38" t="str">
        <f t="shared" ca="1" si="5"/>
        <v/>
      </c>
      <c r="I38" t="str">
        <f t="shared" ca="1" si="6"/>
        <v/>
      </c>
      <c r="J38" t="str">
        <f t="shared" si="7"/>
        <v>Rivas</v>
      </c>
      <c r="L38" s="12"/>
      <c r="M38" s="12"/>
      <c r="N38" s="12"/>
      <c r="O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</row>
    <row r="39" spans="1:29" ht="25.5">
      <c r="A39" s="1" t="s">
        <v>45</v>
      </c>
      <c r="B39" s="1" t="str" cm="1">
        <f t="array" ref="B39">splitcaps(A39)</f>
        <v>Damon Middleton</v>
      </c>
      <c r="C39" s="1" cm="1">
        <f t="array" aca="1" ref="C39" ca="1">SUMPRODUCT(LEN(B39)-LEN(SUBSTITUTE(B39,CHAR(ROW(INDIRECT("65:90"))),"")))</f>
        <v>2</v>
      </c>
      <c r="D39" s="13">
        <v>846685329</v>
      </c>
      <c r="G39" t="str">
        <f t="shared" si="4"/>
        <v>Damon</v>
      </c>
      <c r="H39" t="str">
        <f t="shared" ca="1" si="5"/>
        <v/>
      </c>
      <c r="I39" t="str">
        <f t="shared" ca="1" si="6"/>
        <v/>
      </c>
      <c r="J39" t="str">
        <f t="shared" si="7"/>
        <v>Middleton</v>
      </c>
      <c r="L39" s="12"/>
      <c r="M39" s="12"/>
      <c r="N39" s="12"/>
      <c r="O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</row>
    <row r="40" spans="1:29" ht="25.5">
      <c r="A40" s="1" t="s">
        <v>46</v>
      </c>
      <c r="B40" s="1" t="str" cm="1">
        <f t="array" ref="B40">splitcaps(A40)</f>
        <v>Madalyn Mc Mahon</v>
      </c>
      <c r="C40" s="1" cm="1">
        <f t="array" aca="1" ref="C40" ca="1">SUMPRODUCT(LEN(B40)-LEN(SUBSTITUTE(B40,CHAR(ROW(INDIRECT("65:90"))),"")))</f>
        <v>3</v>
      </c>
      <c r="D40" s="13">
        <v>303672768</v>
      </c>
      <c r="G40" t="str">
        <f t="shared" si="4"/>
        <v>Madalyn</v>
      </c>
      <c r="H40" t="str">
        <f t="shared" ca="1" si="5"/>
        <v>Mc</v>
      </c>
      <c r="I40" t="str">
        <f t="shared" ca="1" si="6"/>
        <v/>
      </c>
      <c r="J40" t="str">
        <f t="shared" si="7"/>
        <v>Mahon</v>
      </c>
      <c r="L40" s="12"/>
      <c r="M40" s="12"/>
      <c r="N40" s="12"/>
      <c r="O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</row>
    <row r="41" spans="1:29">
      <c r="A41" s="1" t="s">
        <v>47</v>
      </c>
      <c r="B41" s="1" t="str" cm="1">
        <f t="array" ref="B41">splitcaps(A41)</f>
        <v>Jakob Solis</v>
      </c>
      <c r="C41" s="1" cm="1">
        <f t="array" aca="1" ref="C41" ca="1">SUMPRODUCT(LEN(B41)-LEN(SUBSTITUTE(B41,CHAR(ROW(INDIRECT("65:90"))),"")))</f>
        <v>2</v>
      </c>
      <c r="D41" s="13">
        <v>392845610</v>
      </c>
      <c r="G41" t="str">
        <f t="shared" si="4"/>
        <v>Jakob</v>
      </c>
      <c r="H41" t="str">
        <f t="shared" ca="1" si="5"/>
        <v/>
      </c>
      <c r="I41" t="str">
        <f t="shared" ca="1" si="6"/>
        <v/>
      </c>
      <c r="J41" t="str">
        <f t="shared" si="7"/>
        <v>Solis</v>
      </c>
      <c r="L41" s="12"/>
      <c r="M41" s="12"/>
      <c r="N41" s="12"/>
      <c r="O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</row>
    <row r="42" spans="1:29">
      <c r="A42" s="1" t="s">
        <v>48</v>
      </c>
      <c r="B42" s="1" t="str" cm="1">
        <f t="array" ref="B42">splitcaps(A42)</f>
        <v>Miracle Trevino</v>
      </c>
      <c r="C42" s="1" cm="1">
        <f t="array" aca="1" ref="C42" ca="1">SUMPRODUCT(LEN(B42)-LEN(SUBSTITUTE(B42,CHAR(ROW(INDIRECT("65:90"))),"")))</f>
        <v>2</v>
      </c>
      <c r="D42" s="13">
        <v>469265295</v>
      </c>
      <c r="G42" t="str">
        <f t="shared" si="4"/>
        <v>Miracle</v>
      </c>
      <c r="H42" t="str">
        <f t="shared" ca="1" si="5"/>
        <v/>
      </c>
      <c r="I42" t="str">
        <f t="shared" ca="1" si="6"/>
        <v/>
      </c>
      <c r="J42" t="str">
        <f t="shared" si="7"/>
        <v>Trevino</v>
      </c>
      <c r="L42" s="12"/>
      <c r="M42" s="12"/>
      <c r="N42" s="12"/>
      <c r="O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</row>
    <row r="43" spans="1:29">
      <c r="A43" s="1" t="s">
        <v>49</v>
      </c>
      <c r="B43" s="1" t="str" cm="1">
        <f t="array" ref="B43">splitcaps(A43)</f>
        <v>Jaime Cuevas</v>
      </c>
      <c r="C43" s="1" cm="1">
        <f t="array" aca="1" ref="C43" ca="1">SUMPRODUCT(LEN(B43)-LEN(SUBSTITUTE(B43,CHAR(ROW(INDIRECT("65:90"))),"")))</f>
        <v>2</v>
      </c>
      <c r="D43" s="13">
        <v>438126970</v>
      </c>
      <c r="G43" t="str">
        <f t="shared" si="4"/>
        <v>Jaime</v>
      </c>
      <c r="H43" t="str">
        <f t="shared" ca="1" si="5"/>
        <v/>
      </c>
      <c r="I43" t="str">
        <f t="shared" ca="1" si="6"/>
        <v/>
      </c>
      <c r="J43" t="str">
        <f t="shared" si="7"/>
        <v>Cuevas</v>
      </c>
      <c r="L43" s="12"/>
      <c r="M43" s="12"/>
      <c r="N43" s="12"/>
      <c r="O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</row>
    <row r="44" spans="1:29">
      <c r="A44" s="1" t="s">
        <v>50</v>
      </c>
      <c r="B44" s="1" t="str" cm="1">
        <f t="array" ref="B44">splitcaps(A44)</f>
        <v>Adele Strong</v>
      </c>
      <c r="C44" s="1" cm="1">
        <f t="array" aca="1" ref="C44" ca="1">SUMPRODUCT(LEN(B44)-LEN(SUBSTITUTE(B44,CHAR(ROW(INDIRECT("65:90"))),"")))</f>
        <v>2</v>
      </c>
      <c r="D44" s="13">
        <v>342522125</v>
      </c>
      <c r="G44" t="str">
        <f t="shared" si="4"/>
        <v>Adele</v>
      </c>
      <c r="H44" t="str">
        <f t="shared" ca="1" si="5"/>
        <v/>
      </c>
      <c r="I44" t="str">
        <f t="shared" ca="1" si="6"/>
        <v/>
      </c>
      <c r="J44" t="str">
        <f t="shared" si="7"/>
        <v>Strong</v>
      </c>
      <c r="L44" s="12"/>
      <c r="M44" s="12"/>
      <c r="N44" s="12"/>
      <c r="O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</row>
    <row r="45" spans="1:29">
      <c r="A45" s="1" t="s">
        <v>51</v>
      </c>
      <c r="B45" s="1" t="str" cm="1">
        <f t="array" ref="B45">splitcaps(A45)</f>
        <v>Axl Combs</v>
      </c>
      <c r="C45" s="1" cm="1">
        <f t="array" aca="1" ref="C45" ca="1">SUMPRODUCT(LEN(B45)-LEN(SUBSTITUTE(B45,CHAR(ROW(INDIRECT("65:90"))),"")))</f>
        <v>2</v>
      </c>
      <c r="D45" s="13">
        <v>313642139</v>
      </c>
      <c r="G45" t="str">
        <f t="shared" si="4"/>
        <v>Axl</v>
      </c>
      <c r="H45" t="str">
        <f t="shared" ca="1" si="5"/>
        <v/>
      </c>
      <c r="I45" t="str">
        <f t="shared" ca="1" si="6"/>
        <v/>
      </c>
      <c r="J45" t="str">
        <f t="shared" si="7"/>
        <v>Combs</v>
      </c>
      <c r="L45" s="12"/>
      <c r="M45" s="12"/>
      <c r="N45" s="12"/>
      <c r="O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</row>
    <row r="46" spans="1:29">
      <c r="L46" s="12"/>
      <c r="M46" s="12"/>
      <c r="N46" s="12"/>
      <c r="O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</row>
    <row r="47" spans="1:29">
      <c r="L47" s="12"/>
      <c r="M47" s="12"/>
      <c r="N47" s="12"/>
      <c r="O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</row>
    <row r="48" spans="1:29">
      <c r="L48" s="12"/>
      <c r="M48" s="12"/>
      <c r="N48" s="12"/>
      <c r="O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</row>
    <row r="49" spans="12:29">
      <c r="L49" s="12"/>
      <c r="M49" s="12"/>
      <c r="N49" s="12"/>
      <c r="O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</row>
    <row r="50" spans="12:29">
      <c r="L50" s="12"/>
      <c r="M50" s="12"/>
      <c r="N50" s="12"/>
      <c r="O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</row>
    <row r="51" spans="12:29">
      <c r="L51" s="12"/>
      <c r="M51" s="12"/>
      <c r="N51" s="12"/>
      <c r="O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</row>
    <row r="52" spans="12:29">
      <c r="L52" s="12"/>
      <c r="M52" s="12"/>
      <c r="N52" s="12"/>
      <c r="O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</row>
    <row r="53" spans="12:29">
      <c r="L53" s="12"/>
      <c r="M53" s="12"/>
      <c r="N53" s="12"/>
      <c r="O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</row>
    <row r="54" spans="12:29">
      <c r="L54" s="12"/>
      <c r="M54" s="12"/>
      <c r="N54" s="12"/>
      <c r="O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</row>
    <row r="55" spans="12:29">
      <c r="L55" s="12"/>
      <c r="M55" s="12"/>
      <c r="N55" s="12"/>
      <c r="O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</row>
    <row r="56" spans="12:29">
      <c r="L56" s="12"/>
      <c r="M56" s="12"/>
      <c r="N56" s="12"/>
      <c r="O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</row>
    <row r="57" spans="12:29">
      <c r="L57" s="12"/>
      <c r="M57" s="12"/>
      <c r="N57" s="12"/>
      <c r="O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</row>
    <row r="58" spans="12:29">
      <c r="L58" s="12"/>
      <c r="M58" s="12"/>
      <c r="N58" s="12"/>
      <c r="O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</row>
    <row r="59" spans="12:29">
      <c r="L59" s="12"/>
      <c r="M59" s="12"/>
      <c r="N59" s="12"/>
      <c r="O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</row>
    <row r="60" spans="12:29">
      <c r="L60" s="12"/>
      <c r="M60" s="12"/>
      <c r="N60" s="12"/>
      <c r="O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</row>
    <row r="61" spans="12:29">
      <c r="L61" s="12"/>
      <c r="M61" s="12"/>
      <c r="N61" s="12"/>
      <c r="O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</row>
    <row r="62" spans="12:29">
      <c r="L62" s="12"/>
      <c r="M62" s="12"/>
      <c r="N62" s="12"/>
      <c r="O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</row>
    <row r="63" spans="12:29">
      <c r="L63" s="12"/>
      <c r="M63" s="12"/>
      <c r="N63" s="12"/>
      <c r="O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</row>
    <row r="64" spans="12:29">
      <c r="L64" s="12"/>
      <c r="M64" s="12"/>
      <c r="N64" s="12"/>
      <c r="O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</row>
    <row r="65" spans="12:29">
      <c r="L65" s="12"/>
      <c r="M65" s="12"/>
      <c r="N65" s="12"/>
      <c r="O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</row>
    <row r="66" spans="12:29">
      <c r="L66" s="12"/>
      <c r="M66" s="12"/>
      <c r="N66" s="12"/>
      <c r="O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</row>
    <row r="67" spans="12:29">
      <c r="L67" s="12"/>
      <c r="M67" s="12"/>
      <c r="N67" s="12"/>
      <c r="O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</row>
    <row r="68" spans="12:29">
      <c r="L68" s="12"/>
      <c r="M68" s="12"/>
      <c r="N68" s="12"/>
      <c r="O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</row>
    <row r="69" spans="12:29">
      <c r="L69" s="12"/>
      <c r="M69" s="12"/>
      <c r="N69" s="12"/>
      <c r="O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</row>
    <row r="70" spans="12:29">
      <c r="L70" s="12"/>
      <c r="M70" s="12"/>
      <c r="N70" s="12"/>
      <c r="O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</row>
    <row r="71" spans="12:29">
      <c r="L71" s="12"/>
      <c r="M71" s="12"/>
      <c r="N71" s="12"/>
      <c r="O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</row>
    <row r="72" spans="12:29">
      <c r="L72" s="12"/>
      <c r="M72" s="12"/>
      <c r="N72" s="12"/>
      <c r="O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</row>
    <row r="73" spans="12:29">
      <c r="L73" s="12"/>
      <c r="M73" s="12"/>
      <c r="N73" s="12"/>
      <c r="O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</row>
    <row r="74" spans="12:29">
      <c r="L74" s="12"/>
      <c r="M74" s="12"/>
      <c r="N74" s="12"/>
      <c r="O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</row>
    <row r="75" spans="12:29">
      <c r="L75" s="12"/>
      <c r="M75" s="12"/>
      <c r="N75" s="12"/>
      <c r="O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</row>
    <row r="76" spans="12:29">
      <c r="L76" s="12"/>
      <c r="M76" s="12"/>
      <c r="N76" s="12"/>
      <c r="O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</row>
    <row r="77" spans="12:29">
      <c r="L77" s="12"/>
      <c r="M77" s="12"/>
      <c r="N77" s="12"/>
      <c r="O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</row>
    <row r="78" spans="12:29">
      <c r="L78" s="12"/>
      <c r="M78" s="12"/>
      <c r="N78" s="12"/>
      <c r="O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</row>
    <row r="79" spans="12:29">
      <c r="L79" s="12"/>
      <c r="M79" s="12"/>
      <c r="N79" s="12"/>
      <c r="O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</row>
    <row r="80" spans="12:29">
      <c r="L80" s="12"/>
      <c r="M80" s="12"/>
      <c r="N80" s="12"/>
      <c r="O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</row>
    <row r="81" spans="12:29">
      <c r="L81" s="12"/>
      <c r="M81" s="12"/>
      <c r="N81" s="12"/>
      <c r="O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</row>
    <row r="82" spans="12:29">
      <c r="L82" s="12"/>
      <c r="M82" s="12"/>
      <c r="N82" s="12"/>
      <c r="O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</row>
    <row r="83" spans="12:29">
      <c r="L83" s="12"/>
      <c r="M83" s="12"/>
      <c r="N83" s="12"/>
      <c r="O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</row>
    <row r="84" spans="12:29">
      <c r="L84" s="12"/>
      <c r="M84" s="12"/>
      <c r="N84" s="12"/>
      <c r="O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</row>
    <row r="85" spans="12:29">
      <c r="L85" s="12"/>
      <c r="M85" s="12"/>
      <c r="N85" s="12"/>
      <c r="O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</row>
    <row r="86" spans="12:29">
      <c r="L86" s="12"/>
      <c r="M86" s="12"/>
      <c r="N86" s="12"/>
      <c r="O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</row>
    <row r="87" spans="12:29">
      <c r="L87" s="12"/>
      <c r="M87" s="12"/>
      <c r="N87" s="12"/>
      <c r="O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</row>
    <row r="88" spans="12:29">
      <c r="L88" s="12"/>
      <c r="M88" s="12"/>
      <c r="N88" s="12"/>
      <c r="O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</row>
    <row r="89" spans="12:29">
      <c r="L89" s="12"/>
      <c r="M89" s="12"/>
      <c r="N89" s="12"/>
      <c r="O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</row>
    <row r="90" spans="12:29">
      <c r="L90" s="12"/>
      <c r="M90" s="12"/>
      <c r="N90" s="12"/>
      <c r="O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</row>
    <row r="91" spans="12:29">
      <c r="L91" s="12"/>
      <c r="M91" s="12"/>
      <c r="N91" s="12"/>
      <c r="O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</row>
    <row r="92" spans="12:29">
      <c r="L92" s="12"/>
      <c r="M92" s="12"/>
      <c r="N92" s="12"/>
      <c r="O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</row>
    <row r="93" spans="12:29">
      <c r="L93" s="12"/>
      <c r="M93" s="12"/>
      <c r="N93" s="12"/>
      <c r="O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</row>
    <row r="94" spans="12:29">
      <c r="L94" s="12"/>
      <c r="M94" s="12"/>
      <c r="N94" s="12"/>
      <c r="O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</row>
    <row r="95" spans="12:29">
      <c r="L95" s="12"/>
      <c r="M95" s="12"/>
      <c r="N95" s="12"/>
      <c r="O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</row>
    <row r="96" spans="12:29">
      <c r="L96" s="12"/>
      <c r="M96" s="12"/>
      <c r="N96" s="12"/>
      <c r="O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</row>
    <row r="97" spans="12:29">
      <c r="L97" s="12"/>
      <c r="M97" s="12"/>
      <c r="N97" s="12"/>
      <c r="O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</row>
    <row r="98" spans="12:29">
      <c r="L98" s="12"/>
      <c r="M98" s="12"/>
      <c r="N98" s="12"/>
      <c r="O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</row>
    <row r="99" spans="12:29">
      <c r="L99" s="12"/>
      <c r="M99" s="12"/>
      <c r="N99" s="12"/>
      <c r="O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</row>
    <row r="100" spans="12:29">
      <c r="L100" s="12"/>
      <c r="M100" s="12"/>
      <c r="N100" s="12"/>
      <c r="O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</row>
    <row r="101" spans="12:29">
      <c r="L101" s="12"/>
      <c r="M101" s="12"/>
      <c r="N101" s="12"/>
      <c r="O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</row>
    <row r="102" spans="12:29">
      <c r="L102" s="12"/>
      <c r="M102" s="12"/>
      <c r="N102" s="12"/>
      <c r="O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</row>
    <row r="103" spans="12:29">
      <c r="L103" s="12"/>
      <c r="M103" s="12"/>
      <c r="N103" s="12"/>
      <c r="O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</row>
    <row r="104" spans="12:29">
      <c r="L104" s="12"/>
      <c r="M104" s="12"/>
      <c r="N104" s="12"/>
      <c r="O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</row>
    <row r="105" spans="12:29">
      <c r="L105" s="12"/>
      <c r="M105" s="12"/>
      <c r="N105" s="12"/>
      <c r="O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</row>
    <row r="106" spans="12:29">
      <c r="L106" s="12"/>
      <c r="M106" s="12"/>
      <c r="N106" s="12"/>
      <c r="O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</row>
    <row r="107" spans="12:29">
      <c r="L107" s="12"/>
      <c r="M107" s="12"/>
      <c r="N107" s="12"/>
      <c r="O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</row>
    <row r="108" spans="12:29">
      <c r="L108" s="12"/>
      <c r="M108" s="12"/>
      <c r="N108" s="12"/>
      <c r="O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</row>
    <row r="109" spans="12:29">
      <c r="L109" s="12"/>
      <c r="M109" s="12"/>
      <c r="N109" s="12"/>
      <c r="O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</row>
    <row r="110" spans="12:29">
      <c r="L110" s="12"/>
      <c r="M110" s="12"/>
      <c r="N110" s="12"/>
      <c r="O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</row>
    <row r="111" spans="12:29">
      <c r="L111" s="12"/>
      <c r="M111" s="12"/>
      <c r="N111" s="12"/>
      <c r="O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</row>
    <row r="112" spans="12:29">
      <c r="L112" s="12"/>
      <c r="M112" s="12"/>
      <c r="N112" s="12"/>
      <c r="O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</row>
    <row r="113" spans="12:29">
      <c r="L113" s="12"/>
      <c r="M113" s="12"/>
      <c r="N113" s="12"/>
      <c r="O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</row>
    <row r="114" spans="12:29">
      <c r="L114" s="12"/>
      <c r="M114" s="12"/>
      <c r="N114" s="12"/>
      <c r="O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</row>
    <row r="115" spans="12:29">
      <c r="L115" s="12"/>
      <c r="M115" s="12"/>
      <c r="N115" s="12"/>
      <c r="O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</row>
    <row r="116" spans="12:29">
      <c r="L116" s="12"/>
      <c r="M116" s="12"/>
      <c r="N116" s="12"/>
      <c r="O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</row>
    <row r="117" spans="12:29">
      <c r="L117" s="12"/>
      <c r="M117" s="12"/>
      <c r="N117" s="12"/>
      <c r="O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</row>
    <row r="118" spans="12:29">
      <c r="L118" s="12"/>
      <c r="M118" s="12"/>
      <c r="N118" s="12"/>
      <c r="O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</row>
    <row r="119" spans="12:29">
      <c r="L119" s="12"/>
      <c r="M119" s="12"/>
      <c r="N119" s="12"/>
      <c r="O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</row>
    <row r="120" spans="12:29">
      <c r="L120" s="12"/>
      <c r="M120" s="12"/>
      <c r="N120" s="12"/>
      <c r="O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</row>
    <row r="121" spans="12:29">
      <c r="L121" s="12"/>
      <c r="M121" s="12"/>
      <c r="N121" s="12"/>
      <c r="O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</row>
    <row r="122" spans="12:29">
      <c r="L122" s="12"/>
      <c r="M122" s="12"/>
      <c r="N122" s="12"/>
      <c r="O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</row>
    <row r="123" spans="12:29">
      <c r="L123" s="12"/>
      <c r="M123" s="12"/>
      <c r="N123" s="12"/>
      <c r="O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</row>
    <row r="124" spans="12:29">
      <c r="L124" s="12"/>
      <c r="M124" s="12"/>
      <c r="N124" s="12"/>
      <c r="O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</row>
    <row r="125" spans="12:29">
      <c r="L125" s="12"/>
      <c r="M125" s="12"/>
      <c r="N125" s="12"/>
      <c r="O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</row>
    <row r="126" spans="12:29">
      <c r="L126" s="12"/>
      <c r="M126" s="12"/>
      <c r="N126" s="12"/>
      <c r="O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</row>
    <row r="127" spans="12:29">
      <c r="L127" s="12"/>
      <c r="M127" s="12"/>
      <c r="N127" s="12"/>
      <c r="O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</row>
    <row r="128" spans="12:29">
      <c r="L128" s="12"/>
      <c r="M128" s="12"/>
      <c r="N128" s="12"/>
      <c r="O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</row>
    <row r="129" spans="12:29">
      <c r="L129" s="12"/>
      <c r="M129" s="12"/>
      <c r="N129" s="12"/>
      <c r="O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</row>
    <row r="130" spans="12:29">
      <c r="L130" s="12"/>
      <c r="M130" s="12"/>
      <c r="N130" s="12"/>
      <c r="O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</row>
    <row r="131" spans="12:29">
      <c r="L131" s="12"/>
      <c r="M131" s="12"/>
      <c r="N131" s="12"/>
      <c r="O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</row>
    <row r="132" spans="12:29">
      <c r="L132" s="12"/>
      <c r="M132" s="12"/>
      <c r="N132" s="12"/>
      <c r="O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</row>
    <row r="133" spans="12:29">
      <c r="L133" s="12"/>
      <c r="M133" s="12"/>
      <c r="N133" s="12"/>
      <c r="O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</row>
    <row r="134" spans="12:29">
      <c r="L134" s="12"/>
      <c r="M134" s="12"/>
      <c r="N134" s="12"/>
      <c r="O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</row>
    <row r="135" spans="12:29">
      <c r="L135" s="12"/>
      <c r="M135" s="12"/>
      <c r="N135" s="12"/>
      <c r="O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</row>
    <row r="136" spans="12:29">
      <c r="L136" s="12"/>
      <c r="M136" s="12"/>
      <c r="N136" s="12"/>
      <c r="O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</row>
    <row r="137" spans="12:29">
      <c r="L137" s="12"/>
      <c r="M137" s="12"/>
      <c r="N137" s="12"/>
      <c r="O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</row>
    <row r="138" spans="12:29">
      <c r="L138" s="12"/>
      <c r="M138" s="12"/>
      <c r="N138" s="12"/>
      <c r="O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</row>
    <row r="139" spans="12:29">
      <c r="L139" s="12"/>
      <c r="M139" s="12"/>
      <c r="N139" s="12"/>
      <c r="O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</row>
    <row r="140" spans="12:29">
      <c r="L140" s="12"/>
      <c r="M140" s="12"/>
      <c r="N140" s="12"/>
      <c r="O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</row>
    <row r="141" spans="12:29">
      <c r="L141" s="12"/>
      <c r="M141" s="12"/>
      <c r="N141" s="12"/>
      <c r="O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</row>
    <row r="142" spans="12:29">
      <c r="L142" s="12"/>
      <c r="M142" s="12"/>
      <c r="N142" s="12"/>
      <c r="O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</row>
    <row r="143" spans="12:29">
      <c r="L143" s="12"/>
      <c r="M143" s="12"/>
      <c r="N143" s="12"/>
      <c r="O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</row>
    <row r="144" spans="12:29">
      <c r="L144" s="12"/>
      <c r="M144" s="12"/>
      <c r="N144" s="12"/>
      <c r="O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</row>
    <row r="145" spans="12:29">
      <c r="L145" s="12"/>
      <c r="M145" s="12"/>
      <c r="N145" s="12"/>
      <c r="O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</row>
    <row r="146" spans="12:29">
      <c r="L146" s="12"/>
      <c r="M146" s="12"/>
      <c r="N146" s="12"/>
      <c r="O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</row>
    <row r="147" spans="12:29">
      <c r="L147" s="12"/>
      <c r="M147" s="12"/>
      <c r="N147" s="12"/>
      <c r="O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</row>
    <row r="148" spans="12:29">
      <c r="L148" s="12"/>
      <c r="M148" s="12"/>
      <c r="N148" s="12"/>
      <c r="O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</row>
    <row r="149" spans="12:29">
      <c r="L149" s="12"/>
      <c r="M149" s="12"/>
      <c r="N149" s="12"/>
      <c r="O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</row>
    <row r="150" spans="12:29">
      <c r="L150" s="12"/>
      <c r="M150" s="12"/>
      <c r="N150" s="12"/>
      <c r="O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</row>
    <row r="151" spans="12:29">
      <c r="L151" s="12"/>
      <c r="M151" s="12"/>
      <c r="N151" s="12"/>
      <c r="O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</row>
    <row r="152" spans="12:29">
      <c r="L152" s="12"/>
      <c r="M152" s="12"/>
      <c r="N152" s="12"/>
      <c r="O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</row>
    <row r="153" spans="12:29">
      <c r="L153" s="12"/>
      <c r="M153" s="12"/>
      <c r="N153" s="12"/>
      <c r="O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</row>
    <row r="154" spans="12:29">
      <c r="L154" s="12"/>
      <c r="M154" s="12"/>
      <c r="N154" s="12"/>
      <c r="O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</row>
    <row r="155" spans="12:29">
      <c r="L155" s="12"/>
      <c r="M155" s="12"/>
      <c r="N155" s="12"/>
      <c r="O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</row>
    <row r="156" spans="12:29">
      <c r="L156" s="12"/>
      <c r="M156" s="12"/>
      <c r="N156" s="12"/>
      <c r="O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</row>
    <row r="157" spans="12:29">
      <c r="L157" s="12"/>
      <c r="M157" s="12"/>
      <c r="N157" s="12"/>
      <c r="O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</row>
    <row r="158" spans="12:29">
      <c r="L158" s="12"/>
      <c r="M158" s="12"/>
      <c r="N158" s="12"/>
      <c r="O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</row>
    <row r="159" spans="12:29">
      <c r="L159" s="12"/>
      <c r="M159" s="12"/>
      <c r="N159" s="12"/>
      <c r="O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</row>
    <row r="160" spans="12:29">
      <c r="L160" s="12"/>
      <c r="M160" s="12"/>
      <c r="N160" s="12"/>
      <c r="O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</row>
    <row r="161" spans="12:29">
      <c r="L161" s="12"/>
      <c r="M161" s="12"/>
      <c r="N161" s="12"/>
      <c r="O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</row>
    <row r="162" spans="12:29">
      <c r="L162" s="12"/>
      <c r="M162" s="12"/>
      <c r="N162" s="12"/>
      <c r="O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</row>
    <row r="163" spans="12:29">
      <c r="L163" s="12"/>
      <c r="M163" s="12"/>
      <c r="N163" s="12"/>
      <c r="O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</row>
    <row r="164" spans="12:29">
      <c r="L164" s="12"/>
      <c r="M164" s="12"/>
      <c r="N164" s="12"/>
      <c r="O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</row>
    <row r="165" spans="12:29">
      <c r="L165" s="12"/>
      <c r="M165" s="12"/>
      <c r="N165" s="12"/>
      <c r="O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</row>
    <row r="166" spans="12:29">
      <c r="L166" s="12"/>
      <c r="M166" s="12"/>
      <c r="N166" s="12"/>
      <c r="O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</row>
    <row r="167" spans="12:29">
      <c r="L167" s="12"/>
      <c r="M167" s="12"/>
      <c r="N167" s="12"/>
      <c r="O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</row>
    <row r="168" spans="12:29">
      <c r="L168" s="12"/>
      <c r="M168" s="12"/>
      <c r="N168" s="12"/>
      <c r="O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</row>
    <row r="169" spans="12:29">
      <c r="L169" s="12"/>
      <c r="M169" s="12"/>
      <c r="N169" s="12"/>
      <c r="O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</row>
    <row r="170" spans="12:29">
      <c r="L170" s="12"/>
      <c r="M170" s="12"/>
      <c r="N170" s="12"/>
      <c r="O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</row>
    <row r="171" spans="12:29">
      <c r="L171" s="12"/>
      <c r="M171" s="12"/>
      <c r="N171" s="12"/>
      <c r="O171" s="12"/>
    </row>
    <row r="172" spans="12:29">
      <c r="L172" s="12"/>
      <c r="M172" s="12"/>
      <c r="N172" s="12"/>
      <c r="O172" s="12"/>
    </row>
    <row r="173" spans="12:29">
      <c r="L173" s="12"/>
      <c r="M173" s="12"/>
      <c r="N173" s="12"/>
      <c r="O173" s="12"/>
    </row>
    <row r="174" spans="12:29">
      <c r="L174" s="12"/>
      <c r="M174" s="12"/>
      <c r="N174" s="12"/>
      <c r="O174" s="12"/>
    </row>
    <row r="179" spans="9:9">
      <c r="I179" t="s">
        <v>219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Full DB</vt:lpstr>
      <vt:lpstr>Sheet1</vt:lpstr>
      <vt:lpstr>DEV</vt:lpstr>
      <vt:lpstr>1Example</vt:lpstr>
      <vt:lpstr>Month to 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Miller</dc:creator>
  <cp:lastModifiedBy>Bryan Miller</cp:lastModifiedBy>
  <dcterms:created xsi:type="dcterms:W3CDTF">2025-03-31T18:55:45Z</dcterms:created>
  <dcterms:modified xsi:type="dcterms:W3CDTF">2025-05-08T16:55:29Z</dcterms:modified>
</cp:coreProperties>
</file>